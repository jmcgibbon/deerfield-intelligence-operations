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sewareonline-my.sharepoint.com/personal/julie_mcgibbon_caseware_com/Documents/Desktop/"/>
    </mc:Choice>
  </mc:AlternateContent>
  <xr:revisionPtr revIDLastSave="36" documentId="8_{04297B3C-74A7-4B7C-9422-3C507ABB21FB}" xr6:coauthVersionLast="47" xr6:coauthVersionMax="47" xr10:uidLastSave="{6CAD09F2-729D-4D4C-B69C-460972F229BF}"/>
  <bookViews>
    <workbookView xWindow="-110" yWindow="-110" windowWidth="19420" windowHeight="11500" activeTab="4" xr2:uid="{00000000-000D-0000-FFFF-FFFF00000000}"/>
  </bookViews>
  <sheets>
    <sheet name="START HERE" sheetId="1" r:id="rId1"/>
    <sheet name="1_Evidence Log" sheetId="2" r:id="rId2"/>
    <sheet name="2_Issue Register" sheetId="3" r:id="rId3"/>
    <sheet name="3_Sequence View" sheetId="4" r:id="rId4"/>
    <sheet name="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J10" i="4"/>
  <c r="I10" i="4"/>
  <c r="H10" i="4"/>
  <c r="G10" i="4"/>
  <c r="C10" i="4"/>
  <c r="B10" i="4"/>
  <c r="K35" i="4"/>
  <c r="J35" i="4"/>
  <c r="I35" i="4"/>
  <c r="H35" i="4"/>
  <c r="G35" i="4"/>
  <c r="C35" i="4"/>
  <c r="B35" i="4"/>
  <c r="K34" i="4"/>
  <c r="J34" i="4"/>
  <c r="I34" i="4"/>
  <c r="H34" i="4"/>
  <c r="G34" i="4"/>
  <c r="C34" i="4"/>
  <c r="B34" i="4"/>
  <c r="K29" i="4"/>
  <c r="J29" i="4"/>
  <c r="I29" i="4"/>
  <c r="H29" i="4"/>
  <c r="G29" i="4"/>
  <c r="C29" i="4"/>
  <c r="B29" i="4"/>
  <c r="K18" i="4"/>
  <c r="J18" i="4"/>
  <c r="I18" i="4"/>
  <c r="H18" i="4"/>
  <c r="G18" i="4"/>
  <c r="C18" i="4"/>
  <c r="B18" i="4"/>
  <c r="K13" i="4"/>
  <c r="J13" i="4"/>
  <c r="I13" i="4"/>
  <c r="H13" i="4"/>
  <c r="G13" i="4"/>
  <c r="C13" i="4"/>
  <c r="B13" i="4"/>
  <c r="K17" i="4"/>
  <c r="J17" i="4"/>
  <c r="I17" i="4"/>
  <c r="H17" i="4"/>
  <c r="G17" i="4"/>
  <c r="C17" i="4"/>
  <c r="B17" i="4"/>
  <c r="K9" i="4"/>
  <c r="J9" i="4"/>
  <c r="I9" i="4"/>
  <c r="H9" i="4"/>
  <c r="G9" i="4"/>
  <c r="C9" i="4"/>
  <c r="B9" i="4"/>
  <c r="K28" i="4"/>
  <c r="J28" i="4"/>
  <c r="I28" i="4"/>
  <c r="H28" i="4"/>
  <c r="G28" i="4"/>
  <c r="C28" i="4"/>
  <c r="B28" i="4"/>
  <c r="K27" i="4"/>
  <c r="J27" i="4"/>
  <c r="I27" i="4"/>
  <c r="H27" i="4"/>
  <c r="G27" i="4"/>
  <c r="C27" i="4"/>
  <c r="B27" i="4"/>
  <c r="K8" i="4"/>
  <c r="J8" i="4"/>
  <c r="I8" i="4"/>
  <c r="H8" i="4"/>
  <c r="G8" i="4"/>
  <c r="C8" i="4"/>
  <c r="B8" i="4"/>
  <c r="K24" i="4"/>
  <c r="J24" i="4"/>
  <c r="I24" i="4"/>
  <c r="H24" i="4"/>
  <c r="G24" i="4"/>
  <c r="C24" i="4"/>
  <c r="B24" i="4"/>
  <c r="K16" i="4"/>
  <c r="J16" i="4"/>
  <c r="I16" i="4"/>
  <c r="H16" i="4"/>
  <c r="G16" i="4"/>
  <c r="C16" i="4"/>
  <c r="B16" i="4"/>
  <c r="K33" i="4"/>
  <c r="J33" i="4"/>
  <c r="I33" i="4"/>
  <c r="H33" i="4"/>
  <c r="G33" i="4"/>
  <c r="C33" i="4"/>
  <c r="B33" i="4"/>
  <c r="K32" i="4"/>
  <c r="J32" i="4"/>
  <c r="I32" i="4"/>
  <c r="H32" i="4"/>
  <c r="G32" i="4"/>
  <c r="C32" i="4"/>
  <c r="B32" i="4"/>
  <c r="K15" i="4"/>
  <c r="J15" i="4"/>
  <c r="I15" i="4"/>
  <c r="H15" i="4"/>
  <c r="G15" i="4"/>
  <c r="C15" i="4"/>
  <c r="B15" i="4"/>
  <c r="K12" i="4"/>
  <c r="J12" i="4"/>
  <c r="I12" i="4"/>
  <c r="H12" i="4"/>
  <c r="G12" i="4"/>
  <c r="C12" i="4"/>
  <c r="B12" i="4"/>
  <c r="K7" i="4"/>
  <c r="J7" i="4"/>
  <c r="I7" i="4"/>
  <c r="H7" i="4"/>
  <c r="G7" i="4"/>
  <c r="C7" i="4"/>
  <c r="B7" i="4"/>
  <c r="K26" i="4"/>
  <c r="J26" i="4"/>
  <c r="I26" i="4"/>
  <c r="H26" i="4"/>
  <c r="G26" i="4"/>
  <c r="C26" i="4"/>
  <c r="B26" i="4"/>
  <c r="K31" i="4"/>
  <c r="J31" i="4"/>
  <c r="I31" i="4"/>
  <c r="H31" i="4"/>
  <c r="G31" i="4"/>
  <c r="C31" i="4"/>
  <c r="B31" i="4"/>
  <c r="K23" i="4"/>
  <c r="J23" i="4"/>
  <c r="I23" i="4"/>
  <c r="H23" i="4"/>
  <c r="G23" i="4"/>
  <c r="C23" i="4"/>
  <c r="B23" i="4"/>
  <c r="K30" i="4"/>
  <c r="J30" i="4"/>
  <c r="I30" i="4"/>
  <c r="H30" i="4"/>
  <c r="G30" i="4"/>
  <c r="C30" i="4"/>
  <c r="B30" i="4"/>
  <c r="K6" i="4"/>
  <c r="J6" i="4"/>
  <c r="I6" i="4"/>
  <c r="H6" i="4"/>
  <c r="G6" i="4"/>
  <c r="C6" i="4"/>
  <c r="B6" i="4"/>
  <c r="K11" i="4"/>
  <c r="J11" i="4"/>
  <c r="I11" i="4"/>
  <c r="H11" i="4"/>
  <c r="G11" i="4"/>
  <c r="C11" i="4"/>
  <c r="B11" i="4"/>
  <c r="K21" i="4"/>
  <c r="J21" i="4"/>
  <c r="I21" i="4"/>
  <c r="H21" i="4"/>
  <c r="G21" i="4"/>
  <c r="C21" i="4"/>
  <c r="B21" i="4"/>
  <c r="K22" i="4"/>
  <c r="J22" i="4"/>
  <c r="I22" i="4"/>
  <c r="H22" i="4"/>
  <c r="G22" i="4"/>
  <c r="C22" i="4"/>
  <c r="B22" i="4"/>
  <c r="K20" i="4"/>
  <c r="J20" i="4"/>
  <c r="I20" i="4"/>
  <c r="H20" i="4"/>
  <c r="G20" i="4"/>
  <c r="C20" i="4"/>
  <c r="B20" i="4"/>
  <c r="K19" i="4"/>
  <c r="J19" i="4"/>
  <c r="I19" i="4"/>
  <c r="H19" i="4"/>
  <c r="G19" i="4"/>
  <c r="C19" i="4"/>
  <c r="B19" i="4"/>
  <c r="K14" i="4"/>
  <c r="J14" i="4"/>
  <c r="I14" i="4"/>
  <c r="H14" i="4"/>
  <c r="G14" i="4"/>
  <c r="C14" i="4"/>
  <c r="B14" i="4"/>
  <c r="K5" i="4"/>
  <c r="J5" i="4"/>
  <c r="I5" i="4"/>
  <c r="H5" i="4"/>
  <c r="G5" i="4"/>
  <c r="C5" i="4"/>
  <c r="B5" i="4"/>
  <c r="K25" i="4"/>
  <c r="J25" i="4"/>
  <c r="I25" i="4"/>
  <c r="H25" i="4"/>
  <c r="G25" i="4"/>
  <c r="C25" i="4"/>
  <c r="B25" i="4"/>
  <c r="T103" i="3"/>
  <c r="O103" i="3"/>
  <c r="I103" i="3"/>
  <c r="T102" i="3"/>
  <c r="O102" i="3"/>
  <c r="I102" i="3"/>
  <c r="T101" i="3"/>
  <c r="O101" i="3"/>
  <c r="I101" i="3"/>
  <c r="T100" i="3"/>
  <c r="O100" i="3"/>
  <c r="I100" i="3"/>
  <c r="T99" i="3"/>
  <c r="O99" i="3"/>
  <c r="I99" i="3"/>
  <c r="T98" i="3"/>
  <c r="O98" i="3"/>
  <c r="I98" i="3"/>
  <c r="T97" i="3"/>
  <c r="O97" i="3"/>
  <c r="I97" i="3"/>
  <c r="T96" i="3"/>
  <c r="O96" i="3"/>
  <c r="I96" i="3"/>
  <c r="T95" i="3"/>
  <c r="O95" i="3"/>
  <c r="I95" i="3"/>
  <c r="T94" i="3"/>
  <c r="O94" i="3"/>
  <c r="I94" i="3"/>
  <c r="T93" i="3"/>
  <c r="O93" i="3"/>
  <c r="I93" i="3"/>
  <c r="T92" i="3"/>
  <c r="O92" i="3"/>
  <c r="I92" i="3"/>
  <c r="T91" i="3"/>
  <c r="O91" i="3"/>
  <c r="I91" i="3"/>
  <c r="T90" i="3"/>
  <c r="O90" i="3"/>
  <c r="I90" i="3"/>
  <c r="T89" i="3"/>
  <c r="O89" i="3"/>
  <c r="I89" i="3"/>
  <c r="T88" i="3"/>
  <c r="O88" i="3"/>
  <c r="I88" i="3"/>
  <c r="T87" i="3"/>
  <c r="O87" i="3"/>
  <c r="I87" i="3"/>
  <c r="T86" i="3"/>
  <c r="O86" i="3"/>
  <c r="I86" i="3"/>
  <c r="T85" i="3"/>
  <c r="O85" i="3"/>
  <c r="I85" i="3"/>
  <c r="T84" i="3"/>
  <c r="O84" i="3"/>
  <c r="I84" i="3"/>
  <c r="T83" i="3"/>
  <c r="O83" i="3"/>
  <c r="I83" i="3"/>
  <c r="T82" i="3"/>
  <c r="O82" i="3"/>
  <c r="I82" i="3"/>
  <c r="T81" i="3"/>
  <c r="O81" i="3"/>
  <c r="I81" i="3"/>
  <c r="T80" i="3"/>
  <c r="O80" i="3"/>
  <c r="I80" i="3"/>
  <c r="T79" i="3"/>
  <c r="O79" i="3"/>
  <c r="I79" i="3"/>
  <c r="T78" i="3"/>
  <c r="O78" i="3"/>
  <c r="I78" i="3"/>
  <c r="T77" i="3"/>
  <c r="O77" i="3"/>
  <c r="I77" i="3"/>
  <c r="T76" i="3"/>
  <c r="O76" i="3"/>
  <c r="I76" i="3"/>
  <c r="T75" i="3"/>
  <c r="O75" i="3"/>
  <c r="I75" i="3"/>
  <c r="T74" i="3"/>
  <c r="O74" i="3"/>
  <c r="I74" i="3"/>
  <c r="T73" i="3"/>
  <c r="O73" i="3"/>
  <c r="I73" i="3"/>
  <c r="T72" i="3"/>
  <c r="O72" i="3"/>
  <c r="I72" i="3"/>
  <c r="T71" i="3"/>
  <c r="O71" i="3"/>
  <c r="I71" i="3"/>
  <c r="T70" i="3"/>
  <c r="O70" i="3"/>
  <c r="I70" i="3"/>
  <c r="T69" i="3"/>
  <c r="O69" i="3"/>
  <c r="I69" i="3"/>
  <c r="T68" i="3"/>
  <c r="O68" i="3"/>
  <c r="I68" i="3"/>
  <c r="T67" i="3"/>
  <c r="O67" i="3"/>
  <c r="I67" i="3"/>
  <c r="T66" i="3"/>
  <c r="O66" i="3"/>
  <c r="I66" i="3"/>
  <c r="T65" i="3"/>
  <c r="O65" i="3"/>
  <c r="I65" i="3"/>
  <c r="T64" i="3"/>
  <c r="O64" i="3"/>
  <c r="I64" i="3"/>
  <c r="T63" i="3"/>
  <c r="O63" i="3"/>
  <c r="I63" i="3"/>
  <c r="T62" i="3"/>
  <c r="O62" i="3"/>
  <c r="I62" i="3"/>
  <c r="T61" i="3"/>
  <c r="O61" i="3"/>
  <c r="I61" i="3"/>
  <c r="T60" i="3"/>
  <c r="O60" i="3"/>
  <c r="I60" i="3"/>
  <c r="T59" i="3"/>
  <c r="O59" i="3"/>
  <c r="I59" i="3"/>
  <c r="T58" i="3"/>
  <c r="O58" i="3"/>
  <c r="I58" i="3"/>
  <c r="T57" i="3"/>
  <c r="O57" i="3"/>
  <c r="I57" i="3"/>
  <c r="T56" i="3"/>
  <c r="O56" i="3"/>
  <c r="I56" i="3"/>
  <c r="T55" i="3"/>
  <c r="O55" i="3"/>
  <c r="I55" i="3"/>
  <c r="T54" i="3"/>
  <c r="O54" i="3"/>
  <c r="I54" i="3"/>
  <c r="T53" i="3"/>
  <c r="O53" i="3"/>
  <c r="I53" i="3"/>
  <c r="T52" i="3"/>
  <c r="O52" i="3"/>
  <c r="I52" i="3"/>
  <c r="T51" i="3"/>
  <c r="O51" i="3"/>
  <c r="I51" i="3"/>
  <c r="T50" i="3"/>
  <c r="O50" i="3"/>
  <c r="I50" i="3"/>
  <c r="T49" i="3"/>
  <c r="O49" i="3"/>
  <c r="I49" i="3"/>
  <c r="T48" i="3"/>
  <c r="O48" i="3"/>
  <c r="I48" i="3"/>
  <c r="T47" i="3"/>
  <c r="O47" i="3"/>
  <c r="I47" i="3"/>
  <c r="T46" i="3"/>
  <c r="O46" i="3"/>
  <c r="I46" i="3"/>
  <c r="T45" i="3"/>
  <c r="O45" i="3"/>
  <c r="I45" i="3"/>
  <c r="T44" i="3"/>
  <c r="O44" i="3"/>
  <c r="I44" i="3"/>
  <c r="T43" i="3"/>
  <c r="O43" i="3"/>
  <c r="I43" i="3"/>
  <c r="T42" i="3"/>
  <c r="O42" i="3"/>
  <c r="I42" i="3"/>
  <c r="T41" i="3"/>
  <c r="O41" i="3"/>
  <c r="I41" i="3"/>
  <c r="T40" i="3"/>
  <c r="O40" i="3"/>
  <c r="I40" i="3"/>
  <c r="T39" i="3"/>
  <c r="O39" i="3"/>
  <c r="I39" i="3"/>
  <c r="T38" i="3"/>
  <c r="O38" i="3"/>
  <c r="I38" i="3"/>
  <c r="T37" i="3"/>
  <c r="O37" i="3"/>
  <c r="I37" i="3"/>
  <c r="T36" i="3"/>
  <c r="O36" i="3"/>
  <c r="I36" i="3"/>
  <c r="O35" i="3"/>
  <c r="I35" i="3"/>
  <c r="O15" i="3"/>
  <c r="H15" i="3"/>
  <c r="G15" i="3"/>
  <c r="F15" i="3"/>
  <c r="O9" i="3"/>
  <c r="P9" i="3" s="1"/>
  <c r="H9" i="3"/>
  <c r="G9" i="3"/>
  <c r="I9" i="3" s="1"/>
  <c r="F9" i="3"/>
  <c r="O14" i="3"/>
  <c r="P14" i="3" s="1"/>
  <c r="H14" i="3"/>
  <c r="G14" i="3"/>
  <c r="I14" i="3" s="1"/>
  <c r="F14" i="3"/>
  <c r="O16" i="3"/>
  <c r="H16" i="3"/>
  <c r="G16" i="3"/>
  <c r="I16" i="3" s="1"/>
  <c r="F16" i="3"/>
  <c r="O21" i="3"/>
  <c r="P21" i="3" s="1"/>
  <c r="T21" i="3" s="1"/>
  <c r="H21" i="3"/>
  <c r="G21" i="3"/>
  <c r="I21" i="3" s="1"/>
  <c r="F21" i="3"/>
  <c r="O20" i="3"/>
  <c r="H20" i="3"/>
  <c r="G20" i="3"/>
  <c r="I20" i="3" s="1"/>
  <c r="F20" i="3"/>
  <c r="O18" i="3"/>
  <c r="H18" i="3"/>
  <c r="G18" i="3"/>
  <c r="I18" i="3" s="1"/>
  <c r="F18" i="3"/>
  <c r="O17" i="3"/>
  <c r="P17" i="3" s="1"/>
  <c r="H17" i="3"/>
  <c r="G17" i="3"/>
  <c r="I17" i="3" s="1"/>
  <c r="F17" i="3"/>
  <c r="O13" i="3"/>
  <c r="P13" i="3" s="1"/>
  <c r="H13" i="3"/>
  <c r="G13" i="3"/>
  <c r="I13" i="3" s="1"/>
  <c r="F13" i="3"/>
  <c r="O12" i="3"/>
  <c r="P12" i="3" s="1"/>
  <c r="H12" i="3"/>
  <c r="G12" i="3"/>
  <c r="F12" i="3"/>
  <c r="O33" i="3"/>
  <c r="H33" i="3"/>
  <c r="G33" i="3"/>
  <c r="F33" i="3"/>
  <c r="O32" i="3"/>
  <c r="P32" i="3" s="1"/>
  <c r="T32" i="3" s="1"/>
  <c r="H32" i="3"/>
  <c r="G32" i="3"/>
  <c r="I32" i="3" s="1"/>
  <c r="F32" i="3"/>
  <c r="O31" i="3"/>
  <c r="P31" i="3" s="1"/>
  <c r="H31" i="3"/>
  <c r="G31" i="3"/>
  <c r="I31" i="3" s="1"/>
  <c r="F31" i="3"/>
  <c r="O30" i="3"/>
  <c r="P30" i="3" s="1"/>
  <c r="H30" i="3"/>
  <c r="G30" i="3"/>
  <c r="I30" i="3" s="1"/>
  <c r="F30" i="3"/>
  <c r="O4" i="3"/>
  <c r="H4" i="3"/>
  <c r="G4" i="3"/>
  <c r="F4" i="3"/>
  <c r="O11" i="3"/>
  <c r="H11" i="3"/>
  <c r="G11" i="3"/>
  <c r="I11" i="3" s="1"/>
  <c r="F11" i="3"/>
  <c r="O10" i="3"/>
  <c r="H10" i="3"/>
  <c r="G10" i="3"/>
  <c r="F10" i="3"/>
  <c r="O29" i="3"/>
  <c r="P29" i="3" s="1"/>
  <c r="H29" i="3"/>
  <c r="G29" i="3"/>
  <c r="I29" i="3" s="1"/>
  <c r="F29" i="3"/>
  <c r="O8" i="3"/>
  <c r="P8" i="3" s="1"/>
  <c r="H8" i="3"/>
  <c r="G8" i="3"/>
  <c r="F8" i="3"/>
  <c r="O7" i="3"/>
  <c r="H7" i="3"/>
  <c r="G7" i="3"/>
  <c r="F7" i="3"/>
  <c r="O6" i="3"/>
  <c r="P6" i="3" s="1"/>
  <c r="H6" i="3"/>
  <c r="G6" i="3"/>
  <c r="I6" i="3" s="1"/>
  <c r="F6" i="3"/>
  <c r="O19" i="3"/>
  <c r="P19" i="3" s="1"/>
  <c r="H19" i="3"/>
  <c r="G19" i="3"/>
  <c r="F19" i="3"/>
  <c r="O26" i="3"/>
  <c r="H26" i="3"/>
  <c r="G26" i="3"/>
  <c r="F26" i="3"/>
  <c r="O25" i="3"/>
  <c r="P25" i="3" s="1"/>
  <c r="H25" i="3"/>
  <c r="G25" i="3"/>
  <c r="I25" i="3" s="1"/>
  <c r="F25" i="3"/>
  <c r="O23" i="3"/>
  <c r="H23" i="3"/>
  <c r="G23" i="3"/>
  <c r="I23" i="3" s="1"/>
  <c r="F23" i="3"/>
  <c r="O22" i="3"/>
  <c r="F22" i="4" s="1"/>
  <c r="H22" i="3"/>
  <c r="G22" i="3"/>
  <c r="I22" i="3" s="1"/>
  <c r="F22" i="3"/>
  <c r="O28" i="3"/>
  <c r="H28" i="3"/>
  <c r="G28" i="3"/>
  <c r="I28" i="3" s="1"/>
  <c r="F28" i="3"/>
  <c r="O5" i="3"/>
  <c r="F19" i="4" s="1"/>
  <c r="H5" i="3"/>
  <c r="G5" i="3"/>
  <c r="I5" i="3" s="1"/>
  <c r="F5" i="3"/>
  <c r="O34" i="3"/>
  <c r="P34" i="3" s="1"/>
  <c r="H34" i="3"/>
  <c r="G34" i="3"/>
  <c r="I34" i="3" s="1"/>
  <c r="F34" i="3"/>
  <c r="O27" i="3"/>
  <c r="P27" i="3" s="1"/>
  <c r="H27" i="3"/>
  <c r="G27" i="3"/>
  <c r="I27" i="3" s="1"/>
  <c r="F27" i="3"/>
  <c r="O24" i="3"/>
  <c r="F25" i="4" s="1"/>
  <c r="H24" i="3"/>
  <c r="G24" i="3"/>
  <c r="I24" i="3" s="1"/>
  <c r="F24" i="3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F12" i="4" l="1"/>
  <c r="F10" i="4"/>
  <c r="F17" i="4"/>
  <c r="F31" i="4"/>
  <c r="F15" i="4"/>
  <c r="F21" i="4"/>
  <c r="I26" i="3"/>
  <c r="F20" i="4"/>
  <c r="I4" i="3"/>
  <c r="D25" i="4" s="1"/>
  <c r="P22" i="3"/>
  <c r="E22" i="4" s="1"/>
  <c r="P7" i="3"/>
  <c r="E31" i="4" s="1"/>
  <c r="F24" i="4"/>
  <c r="I12" i="3"/>
  <c r="I33" i="3"/>
  <c r="D35" i="4" s="1"/>
  <c r="I19" i="3"/>
  <c r="D15" i="4" s="1"/>
  <c r="D30" i="4"/>
  <c r="I7" i="3"/>
  <c r="I8" i="3"/>
  <c r="D26" i="4" s="1"/>
  <c r="I10" i="3"/>
  <c r="D12" i="4" s="1"/>
  <c r="I15" i="3"/>
  <c r="D10" i="4" s="1"/>
  <c r="D19" i="4"/>
  <c r="D5" i="4"/>
  <c r="D13" i="4"/>
  <c r="P23" i="3"/>
  <c r="E24" i="4" s="1"/>
  <c r="F13" i="4"/>
  <c r="F6" i="4"/>
  <c r="D32" i="4"/>
  <c r="D22" i="4"/>
  <c r="F28" i="4"/>
  <c r="P20" i="3"/>
  <c r="E13" i="4" s="1"/>
  <c r="D7" i="4"/>
  <c r="F32" i="4"/>
  <c r="D8" i="4"/>
  <c r="D9" i="4"/>
  <c r="P5" i="3"/>
  <c r="T5" i="3" s="1"/>
  <c r="F8" i="4"/>
  <c r="D23" i="4"/>
  <c r="P33" i="3"/>
  <c r="E18" i="4" s="1"/>
  <c r="D17" i="4"/>
  <c r="D27" i="4"/>
  <c r="F29" i="4"/>
  <c r="D6" i="4"/>
  <c r="D16" i="4"/>
  <c r="P10" i="3"/>
  <c r="P18" i="3"/>
  <c r="P16" i="3"/>
  <c r="E29" i="4" s="1"/>
  <c r="P28" i="3"/>
  <c r="F27" i="4"/>
  <c r="D14" i="4"/>
  <c r="D11" i="4"/>
  <c r="D34" i="4"/>
  <c r="D28" i="4"/>
  <c r="F18" i="4"/>
  <c r="P26" i="3"/>
  <c r="E6" i="4" s="1"/>
  <c r="E35" i="4"/>
  <c r="T9" i="3"/>
  <c r="E30" i="4"/>
  <c r="T19" i="3"/>
  <c r="T6" i="3"/>
  <c r="E23" i="4"/>
  <c r="T8" i="3"/>
  <c r="E26" i="4"/>
  <c r="E7" i="4"/>
  <c r="T29" i="3"/>
  <c r="T17" i="3"/>
  <c r="E9" i="4"/>
  <c r="T27" i="3"/>
  <c r="E5" i="4"/>
  <c r="T31" i="3"/>
  <c r="E16" i="4"/>
  <c r="T25" i="3"/>
  <c r="E11" i="4"/>
  <c r="T14" i="3"/>
  <c r="T30" i="3"/>
  <c r="T34" i="3"/>
  <c r="E14" i="4"/>
  <c r="P11" i="3"/>
  <c r="F7" i="4"/>
  <c r="F35" i="4"/>
  <c r="T13" i="3"/>
  <c r="F14" i="4"/>
  <c r="F23" i="4"/>
  <c r="F16" i="4"/>
  <c r="F11" i="4"/>
  <c r="F9" i="4"/>
  <c r="F26" i="4"/>
  <c r="F34" i="4"/>
  <c r="P24" i="3"/>
  <c r="P4" i="3"/>
  <c r="E28" i="4" s="1"/>
  <c r="T20" i="3"/>
  <c r="F5" i="4"/>
  <c r="F30" i="4"/>
  <c r="F33" i="4"/>
  <c r="P15" i="3"/>
  <c r="T12" i="3"/>
  <c r="T22" i="3" l="1"/>
  <c r="T23" i="3"/>
  <c r="E21" i="4"/>
  <c r="D21" i="4"/>
  <c r="T7" i="3"/>
  <c r="D31" i="4"/>
  <c r="E17" i="4"/>
  <c r="E27" i="4"/>
  <c r="D33" i="4"/>
  <c r="D20" i="4"/>
  <c r="E34" i="4"/>
  <c r="T26" i="3"/>
  <c r="T18" i="3"/>
  <c r="E20" i="4"/>
  <c r="T28" i="3"/>
  <c r="E19" i="4"/>
  <c r="E33" i="4"/>
  <c r="E12" i="4"/>
  <c r="T10" i="3"/>
  <c r="D18" i="4"/>
  <c r="T16" i="3"/>
  <c r="D29" i="4"/>
  <c r="E8" i="4"/>
  <c r="T33" i="3"/>
  <c r="D24" i="4"/>
  <c r="E32" i="4"/>
  <c r="T4" i="3"/>
  <c r="T15" i="3"/>
  <c r="E10" i="4"/>
  <c r="E25" i="4"/>
  <c r="T24" i="3"/>
  <c r="E15" i="4"/>
  <c r="T11" i="3"/>
</calcChain>
</file>

<file path=xl/sharedStrings.xml><?xml version="1.0" encoding="utf-8"?>
<sst xmlns="http://schemas.openxmlformats.org/spreadsheetml/2006/main" count="1521" uniqueCount="762">
  <si>
    <t>Deerfield Intelligence | Operational Gap Assessment Tool</t>
  </si>
  <si>
    <t>Purpose: capture interview evidence once, then automatically carry it through triangulation → prioritization → sequencing.</t>
  </si>
  <si>
    <t>STAGE</t>
  </si>
  <si>
    <t>TAB</t>
  </si>
  <si>
    <t>WHAT YOU DO</t>
  </si>
  <si>
    <t>WHAT THE TOOL DOES</t>
  </si>
  <si>
    <t>1_Evidence Log</t>
  </si>
  <si>
    <t xml:space="preserve">During / post interviews, add one observation per row </t>
  </si>
  <si>
    <t>Creates a structured evidence base with issue tags, source, evidence type and initial hypothesis.</t>
  </si>
  <si>
    <t>2_Issue Register</t>
  </si>
  <si>
    <t>Define each emerging issue once and enter a few judgment calls (confidence, root cause, impact).</t>
  </si>
  <si>
    <t>Pulls interview counts, unique sources and corroborating evidence from the log; flags signal strength.</t>
  </si>
  <si>
    <t>3. Prioritize</t>
  </si>
  <si>
    <t>Score business impact, urgency, scale dependency and effort on 1–5 scales.</t>
  </si>
  <si>
    <t>Calculates a weighted priority score and assigns a priority band.</t>
  </si>
  <si>
    <t>4. Sequence</t>
  </si>
  <si>
    <t>Enter dependency, owner and timing logic.</t>
  </si>
  <si>
    <t>Suggests Now / Next / Later based on priority and readiness; creates the 90-day action queue.</t>
  </si>
  <si>
    <t>5. Output</t>
  </si>
  <si>
    <t>3_Sequence View</t>
  </si>
  <si>
    <t>Review output</t>
  </si>
  <si>
    <t>Creates final snapshot of triangulation &gt; prioritization &gt; sequencing</t>
  </si>
  <si>
    <t>Scoring guide (keep it directional — this is a decision aid, not false precision)</t>
  </si>
  <si>
    <t>Dimension</t>
  </si>
  <si>
    <t>1</t>
  </si>
  <si>
    <t>3</t>
  </si>
  <si>
    <t>5</t>
  </si>
  <si>
    <t>Business impact</t>
  </si>
  <si>
    <t>Localized inconvenience</t>
  </si>
  <si>
    <t>Meaningful drag on a pod/function</t>
  </si>
  <si>
    <t>Material risk to DI scaling, delivery, controls or talent</t>
  </si>
  <si>
    <t>Urgency</t>
  </si>
  <si>
    <t>Can wait &gt;6 months</t>
  </si>
  <si>
    <t>Should address this quarter</t>
  </si>
  <si>
    <t>Immediate / compounding risk</t>
  </si>
  <si>
    <t>Scale dependency</t>
  </si>
  <si>
    <t>Works similarly at 30 people</t>
  </si>
  <si>
    <t>Will become harder as team grows</t>
  </si>
  <si>
    <t>Likely breaks before / during 10→30 scale</t>
  </si>
  <si>
    <t>Effort</t>
  </si>
  <si>
    <t>Days / simple fix</t>
  </si>
  <si>
    <t>Several weeks / cross-functional</t>
  </si>
  <si>
    <t>Multi-month / complex dependency</t>
  </si>
  <si>
    <t xml:space="preserve">*Unique Sources helper is pre-wired to the named interviewees in the scenario. If you interview different people, replace those names </t>
  </si>
  <si>
    <t>in the formula or use the evidence count + your judgment; the tool is intentionally lightweight.</t>
  </si>
  <si>
    <t>Obs ID</t>
  </si>
  <si>
    <t>Interview / Source</t>
  </si>
  <si>
    <t>Role / Group</t>
  </si>
  <si>
    <t>Date</t>
  </si>
  <si>
    <t>Issue ID</t>
  </si>
  <si>
    <t>Category</t>
  </si>
  <si>
    <t>Observation</t>
  </si>
  <si>
    <t>Example / Evidence</t>
  </si>
  <si>
    <t>Evidence Type</t>
  </si>
  <si>
    <t>Initial Hypothesis</t>
  </si>
  <si>
    <t>Severity (1-5)</t>
  </si>
  <si>
    <t>Confidence</t>
  </si>
  <si>
    <t>Notes</t>
  </si>
  <si>
    <t>Triangulate</t>
  </si>
  <si>
    <t>Prioritize</t>
  </si>
  <si>
    <t>Sequencing</t>
  </si>
  <si>
    <t>Issue / Gap Statement</t>
  </si>
  <si>
    <t>Root Cause Hypothesis</t>
  </si>
  <si>
    <t>Evidence Count</t>
  </si>
  <si>
    <t>Unique Sources*</t>
  </si>
  <si>
    <t>Strong Evidence Count</t>
  </si>
  <si>
    <t>Signal Strength</t>
  </si>
  <si>
    <t>Triangulation Confidence</t>
  </si>
  <si>
    <t>Priority Score</t>
  </si>
  <si>
    <t>Priority Band</t>
  </si>
  <si>
    <t>Dependency / Prerequisite</t>
  </si>
  <si>
    <t>Owner / Partner</t>
  </si>
  <si>
    <t>Readiness</t>
  </si>
  <si>
    <t>Suggested Sequence</t>
  </si>
  <si>
    <t>Final Sequence</t>
  </si>
  <si>
    <t>Proposed Intervention</t>
  </si>
  <si>
    <t>Issue / Gap</t>
  </si>
  <si>
    <t>Signal</t>
  </si>
  <si>
    <t>Priority</t>
  </si>
  <si>
    <t>Score</t>
  </si>
  <si>
    <t>Final / Suggested Sequence</t>
  </si>
  <si>
    <t>Dependency</t>
  </si>
  <si>
    <t>Intervention</t>
  </si>
  <si>
    <t>Outcome / Measure</t>
  </si>
  <si>
    <t>Quick Reference: What counts as triangulation?</t>
  </si>
  <si>
    <t>Test</t>
  </si>
  <si>
    <t>Question to ask yourself</t>
  </si>
  <si>
    <t>Strong signal looks like</t>
  </si>
  <si>
    <t>Watch-out</t>
  </si>
  <si>
    <t>Corroboration</t>
  </si>
  <si>
    <t>Do multiple independent sources point to the same issue?</t>
  </si>
  <si>
    <t>3+ sources, ideally across roles / interfaces</t>
  </si>
  <si>
    <t>Five comments from one person ≠ five signals</t>
  </si>
  <si>
    <t>Specificity</t>
  </si>
  <si>
    <t>Is there concrete evidence rather than only sentiment?</t>
  </si>
  <si>
    <t>Examples, artifacts, observed behavior or metrics</t>
  </si>
  <si>
    <t>Treat perception as useful context, not proof</t>
  </si>
  <si>
    <t>Root cause</t>
  </si>
  <si>
    <t>Do examples share the same underlying mechanism?</t>
  </si>
  <si>
    <t>A repeatable process / ownership / capability failure</t>
  </si>
  <si>
    <t>Don't solve the symptom named by the loudest interviewee</t>
  </si>
  <si>
    <t>Materiality</t>
  </si>
  <si>
    <t>Does it affect delivery, controls, talent or ability to scale?</t>
  </si>
  <si>
    <t>Clear consequence and affected population</t>
  </si>
  <si>
    <t>Avoid over-weighting annoying but low-impact friction</t>
  </si>
  <si>
    <t>Counter-evidence</t>
  </si>
  <si>
    <t>Is there evidence the process works elsewhere?</t>
  </si>
  <si>
    <t>Known exceptions help narrow root cause</t>
  </si>
  <si>
    <t>Actively look for disconfirming evidence</t>
  </si>
  <si>
    <t>OBS-001</t>
  </si>
  <si>
    <t>Elena Rodriguez</t>
  </si>
  <si>
    <t>HR / Central Function</t>
  </si>
  <si>
    <t>2026-09-18</t>
  </si>
  <si>
    <t>ORG-01</t>
  </si>
  <si>
    <t>Operating Model &amp; Decision Rights</t>
  </si>
  <si>
    <t>HR support for DI is capacity-constrained and largely reactive.</t>
  </si>
  <si>
    <t>Elena estimates only 20–25% of her time is available for DI; coordination is mainly a monthly meeting with David, after issues have already occurred.</t>
  </si>
  <si>
    <t>Metric / data</t>
  </si>
  <si>
    <t>DI lacks a sufficiently frequent HR–Operations interface and a counterpart who can translate team needs into central processes.</t>
  </si>
  <si>
    <t>High</t>
  </si>
  <si>
    <t>Elena's capacity estimate and current cadence; validate with David and DI leads.</t>
  </si>
  <si>
    <t>WFP-01</t>
  </si>
  <si>
    <t>Workforce Planning</t>
  </si>
  <si>
    <t>DI does not have a clear, sequenced workforce plan for growth from 10 to 30.</t>
  </si>
  <si>
    <t>HR has no roadmap specifying roles, timing or sequence; searches can change level or skill profile after sourcing begins, and some stall when projects are deprioritized.</t>
  </si>
  <si>
    <t>Repeated pattern</t>
  </si>
  <si>
    <t>Workforce needs are triggered reactively by immediate project pressure rather than an agreed capacity and capability plan.</t>
  </si>
  <si>
    <t>Strong single-source pattern; validate frequency and examples with David and pod leads.</t>
  </si>
  <si>
    <t>HIR-01</t>
  </si>
  <si>
    <t>Hiring</t>
  </si>
  <si>
    <t>The recruiting process is too slow and ad hoc to support planned hiring volume.</t>
  </si>
  <si>
    <t>A recent ML engineer search took four months; two strong candidates were lost because DI could not provide a timeline.</t>
  </si>
  <si>
    <t>Direct example</t>
  </si>
  <si>
    <t>DI lacks a standardized, actively managed recruiting funnel with clear stages, service levels and candidate ownership.</t>
  </si>
  <si>
    <t>Material quantitative example; seek ATS data to confirm baseline cycle time and conversion.</t>
  </si>
  <si>
    <t>Interview scheduling and stage-by-stage execution create avoidable delay.</t>
  </si>
  <si>
    <t>It typically takes one to two weeks to secure three to four interview slots; rounds are booked sequentially and feedback waits add further gaps.</t>
  </si>
  <si>
    <t>Unreserved interviewer capacity, sequential scheduling and unclear execution ownership extend time-to-hire.</t>
  </si>
  <si>
    <t>Specific timing estimate from process owner; validate against recent requisitions.</t>
  </si>
  <si>
    <t>David is a single point of dependency for hiring decisions and final interviews.</t>
  </si>
  <si>
    <t>David makes the final call on every hire; when his calendar is constrained, Intelligence recruiting stops even when the team supports a candidate.</t>
  </si>
  <si>
    <t>Hiring decision rights have not been delegated or supported by a sufficiently trusted assessment process.</t>
  </si>
  <si>
    <t>Medium</t>
  </si>
  <si>
    <t>Elena's recurring observation; test David's rationale and appetite to delegate by role level.</t>
  </si>
  <si>
    <t>Strength / Context</t>
  </si>
  <si>
    <t>DI's hiring model preserves a strong quality bar and is effective at closing candidates once they meet the team.</t>
  </si>
  <si>
    <t>Elena reports candidates are impressed by David, the team and the work; David is decisive once engaged, and engineers protect technical and cultural standards.</t>
  </si>
  <si>
    <t>Perception / opinion</t>
  </si>
  <si>
    <t>The recruiting redesign should preserve the close and hiring bar while removing upstream planning and execution friction.</t>
  </si>
  <si>
    <t>Positive context only; excluded from issue counts and retained to define what the redesign must preserve.</t>
  </si>
  <si>
    <t>ONB-01</t>
  </si>
  <si>
    <t>Onboarding</t>
  </si>
  <si>
    <t>Technical onboarding lacks an end-to-end owner and standard access checklist.</t>
  </si>
  <si>
    <t>One new hire could not access the code repository for three weeks; hardware, base accounts and specialized access are split across IT and different DI team members.</t>
  </si>
  <si>
    <t>Fragmented provisioning ownership and tribal knowledge prevent new hires from becoming productive quickly.</t>
  </si>
  <si>
    <t>Concrete example; validate whether this occurred once or reflects typical access lead times.</t>
  </si>
  <si>
    <t>ONB-02</t>
  </si>
  <si>
    <t>New hires lack a structured first-30-day plan and integration into the broader firm.</t>
  </si>
  <si>
    <t>After standard HR orientation, new hires largely 'sink or swim'; there is no formal 30-60-90 plan or stakeholder map, and they remain socially and operationally isolated from Deerfield.</t>
  </si>
  <si>
    <t>DI onboarding covers basic administration but not role ramp-up, organizational context or cross-firm relationships.</t>
  </si>
  <si>
    <t>Elena's assessment; test directly with recent hires and managers.</t>
  </si>
  <si>
    <t>WFP-02</t>
  </si>
  <si>
    <t>DI's flat structure will not scale to 30 people without a capable middle layer.</t>
  </si>
  <si>
    <t>Most employees currently rely on David; Elena expects pod or functional leads, explicit spans of control and manager training will be needed before the team reaches roughly 15–20.</t>
  </si>
  <si>
    <t>DI has not yet designed the leadership structure and management capability required for the next stage of growth.</t>
  </si>
  <si>
    <t>Forward-looking risk rather than a current failure; validate against current reporting lines and hiring plan.</t>
  </si>
  <si>
    <t>Organization &amp; Performance</t>
  </si>
  <si>
    <t>Roles, accountabilities and decision rights are informal and sometimes ambiguous.</t>
  </si>
  <si>
    <t>Elena believes different team members could name different owners for the same data pipeline or product feature; in-seat expectations are not documented beyond titles.</t>
  </si>
  <si>
    <t>Scrappy shared ownership is obscuring accountability and will create duplication, escalation and performance-management difficulty as DI grows.</t>
  </si>
  <si>
    <t>Hypothesis requires corroboration from delivery examples and pod interviews.</t>
  </si>
  <si>
    <t>ORG-02</t>
  </si>
  <si>
    <t>Performance management is informal and insufficiently documented.</t>
  </si>
  <si>
    <t>Firm-wide reviews are treated as a check-box exercise; feedback is mainly verbal, leaving limited support for compensation differentiation, promotion decisions or performance action.</t>
  </si>
  <si>
    <t>DI has not adapted the firm's performance framework into a lightweight process that fits an agile technical team.</t>
  </si>
  <si>
    <t>Validate employee experience and review completion/document quality.</t>
  </si>
  <si>
    <t>WFP-03</t>
  </si>
  <si>
    <t>Levels and career paths are not defined for DI technical talent.</t>
  </si>
  <si>
    <t>There is no documented progression from Senior to Staff or Lead and no competency matrix; advancement depends heavily on David's judgment and visibility.</t>
  </si>
  <si>
    <t>Lack of transparent growth paths may become a retention risk as the team expands, despite strong current culture and talent quality.</t>
  </si>
  <si>
    <t>Emerging risk, not evidence of current attrition; test with employees and exit/engagement data.</t>
  </si>
  <si>
    <t>INT-01</t>
  </si>
  <si>
    <t>DI-Deerfield Integration</t>
  </si>
  <si>
    <t>DI operates as a silo from the traditional investment organization, weakening shared context and support for resource requests.</t>
  </si>
  <si>
    <t>Elena observes an 'us versus them' dynamic, limited positive touchpoints and weak visibility into DI's value; she links this to harder approval of compensation and resources.</t>
  </si>
  <si>
    <t>DI lacks a deliberate stakeholder-engagement and value-communication mechanism with the broader firm.</t>
  </si>
  <si>
    <t>Important but perception-led; test with investment stakeholders and examples of delayed or rejected requests.</t>
  </si>
  <si>
    <t>ORG-03</t>
  </si>
  <si>
    <t>Annual compensation cycles limit DI's ability to respond to fast-moving retention risks.</t>
  </si>
  <si>
    <t>When a key engineer receives a competing offer mid-year, Elena must pursue an out-of-cycle adjustment through an exception process.</t>
  </si>
  <si>
    <t>DI lacks a defined, evidence-based path for time-sensitive compensation decisions outside the annual cycle.</t>
  </si>
  <si>
    <t>Separate compensation issue; validate frequency, decision time and outcomes with HR and the Compensation Committee.</t>
  </si>
  <si>
    <t>WFP-04</t>
  </si>
  <si>
    <t>Firm-wide titles and pay bands do not map cleanly to DI's technical roles.</t>
  </si>
  <si>
    <t>Traditional definitions of Vice President, Director and Senior Associate do not consistently reflect technology-market titles, responsibilities or compensation.</t>
  </si>
  <si>
    <t>DI lacks a technology-specific job architecture mapped back to Deerfield's firm-wide levels and compensation framework.</t>
  </si>
  <si>
    <t>Separate job-architecture issue; validate with current role mapping and external benchmarks.</t>
  </si>
  <si>
    <t>CORP-01</t>
  </si>
  <si>
    <t>Corporate Interfaces</t>
  </si>
  <si>
    <t>Standard procurement processes can delay access to specialized software and data tools.</t>
  </si>
  <si>
    <t>Elena reports that approval of a new tool or specialized data subscription can take weeks through standard corporate channels.</t>
  </si>
  <si>
    <t>DI lacks a proportionate, clearly routed approval path for time-sensitive technology and data purchases.</t>
  </si>
  <si>
    <t>Separate procurement issue; triangulate with IT/SecOps and Finance/Procurement.</t>
  </si>
  <si>
    <t>HIR-02</t>
  </si>
  <si>
    <t>Firm-wide office expectations may constrain DI's access to specialized AI talent.</t>
  </si>
  <si>
    <t>DI competes with employers offering fully remote roles, making office-location expectations a recurring point of negotiation with candidates.</t>
  </si>
  <si>
    <t>DI has not defined when talent scarcity justifies role-specific flexibility within Deerfield's workplace policy.</t>
  </si>
  <si>
    <t>Separate hiring-policy issue; validate actual candidate losses and role/location requirements.</t>
  </si>
  <si>
    <t>Ownership between HR and DI is blurred, creating handoffs and work in the wrong function.</t>
  </si>
  <si>
    <t>HR coordinates technical interview calendars and is asked to ensure technical setup, while DI sometimes handles compensation guidance or performance issues without early HR involvement.</t>
  </si>
  <si>
    <t>DI needs a single operational front door with explicit decision rights: Operations owns team context and execution; HR owns framework, fairness, compliance and sensitive employee matters.</t>
  </si>
  <si>
    <t>Elena proposed a weekly tactical sync and shared tracker as the working interface.</t>
  </si>
  <si>
    <t>James Okonkwo</t>
  </si>
  <si>
    <t>Finance / Central Function</t>
  </si>
  <si>
    <t>DI is viewed as cost-conscious, and David engages constructively on financial trade-offs.</t>
  </si>
  <si>
    <t>James reports that the team is thoughtful about proposed purchases and that David listens when Finance challenges spend.</t>
  </si>
  <si>
    <t>The finance operating model should improve visibility and control without assuming DI is culturally undisciplined about cost.</t>
  </si>
  <si>
    <t>FIN-01</t>
  </si>
  <si>
    <t>Financial Planning &amp; Spend Management</t>
  </si>
  <si>
    <t>DI's annual budget is based on rough historical estimates rather than a costed delivery and growth roadmap.</t>
  </si>
  <si>
    <t>The budget uses prior-year spend plus buffers for hiring, data and cloud; new projects and their resource needs are not translated into line items before work begins.</t>
  </si>
  <si>
    <t>DI lacks a rolling driver-based financial model connecting headcount, roadmap choices and major technology consumption to expected spend.</t>
  </si>
  <si>
    <t>Corroborate with the current budget model, hiring plan and project roadmap.</t>
  </si>
  <si>
    <t>Finance receives too little forward visibility to forecast DI's major spending needs.</t>
  </si>
  <si>
    <t>James wants a rolling six-month outlook and 30–60 days' notice for major expenses; current visibility is often about two weeks and triggered by urgent payment requests.</t>
  </si>
  <si>
    <t>DI lacks a regular reforecasting process and a mechanism for translating roadmap changes into financial implications.</t>
  </si>
  <si>
    <t>Specific current- and future-state timing from the Finance liaison; validate with recent requests.</t>
  </si>
  <si>
    <t>FIN-02</t>
  </si>
  <si>
    <t>Cloud spend is monitored too late to prevent material budget variance.</t>
  </si>
  <si>
    <t>DI finished the prior quarter approximately 40% over its cloud budget, and Finance identified the overage only after the quarter had ended.</t>
  </si>
  <si>
    <t>DI lacks timely cloud-cost monitoring, thresholds and accountable operational follow-up during the reporting period.</t>
  </si>
  <si>
    <t>Direct quantified example; validate against AWS/GCP billing and the quarterly forecast.</t>
  </si>
  <si>
    <t>DI's cloud-cost exposure can change rapidly without an early-warning mechanism.</t>
  </si>
  <si>
    <t>AWS and GCP currently cost about $30,000 per month; James believes usage can double quickly when new infrastructure is launched or large jobs continue running.</t>
  </si>
  <si>
    <t>Variable infrastructure consumption is not paired with weekly burn-rate monitoring, anomaly alerts or named ownership for investigating spikes.</t>
  </si>
  <si>
    <t>Current spend estimate plus risk assessment; triangulate with technical owners and cloud-cost data.</t>
  </si>
  <si>
    <t>BVC-01</t>
  </si>
  <si>
    <t>Business Case &amp; Value Management</t>
  </si>
  <si>
    <t>DI cannot consistently attribute spend to projects or workstreams.</t>
  </si>
  <si>
    <t>Data, cloud and other costs are largely reported in aggregate, so Finance cannot explain which initiatives caused increases or whether the spend was worthwhile.</t>
  </si>
  <si>
    <t>DI lacks project-level cost allocation and a lightweight method for linking consumption to the work that generated it.</t>
  </si>
  <si>
    <t>Validate feasible allocation granularity with Finance and technical leads; avoid false precision.</t>
  </si>
  <si>
    <t>Partner reporting describes DI's inputs and costs but does not connect them to business or investment outcomes.</t>
  </si>
  <si>
    <t>Current reporting lists salaries, data and cloud costs; partners are beginning to ask what several million dollars of annual spend is buying and whether specific data investments improved decisions.</t>
  </si>
  <si>
    <t>DI lacks a value narrative and supporting measures that connect major investments to delivery, investment insight or portfolio impact.</t>
  </si>
  <si>
    <t>Partner questions are reported by James; validate directly with partners and avoid claiming causal investment returns without evidence.</t>
  </si>
  <si>
    <t>New tools and vendor commitments can be initiated before Finance reviews the need, budget or terms.</t>
  </si>
  <si>
    <t>Team members may start a subscription or free trial and Finance learns of the commitment only when an invoice or credit-card charge appears.</t>
  </si>
  <si>
    <t>DI lacks a proportionate pre-commitment intake and approval path that is fast enough for the team to use consistently.</t>
  </si>
  <si>
    <t>Corroborates Elena's concern that the standard path does not fit DI, while showing the resulting bypass behavior.</t>
  </si>
  <si>
    <t>Procurement authority and approval thresholds are unclear.</t>
  </si>
  <si>
    <t>James cannot identify who may approve a $5,000 annual tool or when Finance's receipt of an invoice becomes the de facto approval point.</t>
  </si>
  <si>
    <t>Decision rights and spend thresholds are not explicit across DI Operations, technical leaders, Finance and the corporate CFO.</t>
  </si>
  <si>
    <t>Direct ownership gap; validate current delegation-of-authority policy before designing thresholds.</t>
  </si>
  <si>
    <t>VEN-01</t>
  </si>
  <si>
    <t>Vendor &amp; Contract Management</t>
  </si>
  <si>
    <t>DI has duplicate and potentially underused vendor subscriptions.</t>
  </si>
  <si>
    <t>Finance found three data-visualization tools being paid for simultaneously because different employees had established them at different times.</t>
  </si>
  <si>
    <t>DI lacks a complete vendor inventory, usage review and periodic rationalization process.</t>
  </si>
  <si>
    <t>Concrete overlap example; a full vendor audit would establish the scale of waste.</t>
  </si>
  <si>
    <t>Vendor contracts and commercial terms are fragmented across people and locations.</t>
  </si>
  <si>
    <t>James has found contracts signed by former employees and has had to investigate who authorized them, whether the tools remain in use and when they renew.</t>
  </si>
  <si>
    <t>DI lacks a centralized contract repository with current business owners, costs, terms and renewal dates.</t>
  </si>
  <si>
    <t>Recurring observation from the person performing the manual reconciliation.</t>
  </si>
  <si>
    <t>DI is exposed to avoidable renewal and termination risk.</t>
  </si>
  <si>
    <t>Large data contracts can require 90 days' notice, creating a risk of default renewal when ownership is unclear or cancellation windows are missed.</t>
  </si>
  <si>
    <t>Vendor lifecycle management does not reliably trigger timely usage, value and renewal decisions.</t>
  </si>
  <si>
    <t>Validate notice periods and auto-renewal exposure through the contract audit.</t>
  </si>
  <si>
    <t>Business ownership for vendors is unclear, causing renewal by default.</t>
  </si>
  <si>
    <t>For a data-provider renewal, Finance may be redirected among David, Priya and Marcus without anyone clearly accountable for deciding whether the service is still required.</t>
  </si>
  <si>
    <t>DI has not assigned one accountable business owner for each vendor relationship and renewal decision.</t>
  </si>
  <si>
    <t>Specific decision-path example; test whether it recurs across the vendor portfolio.</t>
  </si>
  <si>
    <t>DI and Finance coordinate primarily through exceptions rather than a regular planning and review cadence.</t>
  </si>
  <si>
    <t>There is no standing forum; Finance engages when a charge looks wrong, an invoice is urgent or at annual budget-setting, limiting access to the context behind the numbers.</t>
  </si>
  <si>
    <t>The DI–Finance interface lacks a lightweight monthly rhythm covering actuals, forecast changes, upcoming renewals and material risks.</t>
  </si>
  <si>
    <t>James proposed a 30-minute monthly pulse plus event-driven alerts for material spikes.</t>
  </si>
  <si>
    <t>Finance lacks one DI counterpart with an end-to-end view of plans and commitments.</t>
  </si>
  <si>
    <t>James coordinates separately with David, Priya, Marcus and individual team members; no one person combines roadmap context, vendor commitments and current spend.</t>
  </si>
  <si>
    <t>DI lacks a financial operating owner who can translate technical plans into forecasts and provide Finance with one front door.</t>
  </si>
  <si>
    <t>Parallel to the HR interface issue, but retained as a separate functional operating relationship.</t>
  </si>
  <si>
    <t>The current finance-control model depends on manual effort that will not scale.</t>
  </si>
  <si>
    <t>James spends about 20% of his time on DI and estimates a personally enforced manual gatekeeping workaround would remain viable for only three to six months or until roughly 15–20 employees.</t>
  </si>
  <si>
    <t>Without an Operations owner and shared controls, Finance cannot absorb the additional coordination and monitoring load created by growth to 30.</t>
  </si>
  <si>
    <t>Specific capacity and scalability estimate from the Finance liaison.</t>
  </si>
  <si>
    <t>Marcus Thompson</t>
  </si>
  <si>
    <t>Portfolio Enablement Pod</t>
  </si>
  <si>
    <t>Marcus's pod combines direct portfolio-company access, strong technical autonomy and rapid delivery.</t>
  </si>
  <si>
    <t>Deerfield's investor relationship gives the pod access to portfolio executives; David does not micromanage technical decisions, and Marcus cited a tool that accelerated a clinical-trial process by 30%.</t>
  </si>
  <si>
    <t>The operating model should add coordination and predictability while preserving direct client access, technical autonomy and speed.</t>
  </si>
  <si>
    <t>PIP-01</t>
  </si>
  <si>
    <t>Portfolio Intake &amp; Prioritization</t>
  </si>
  <si>
    <t>DI lacks a controlled front door for portfolio-support requests.</t>
  </si>
  <si>
    <t>Requests arrive through Partners, Principals, portfolio-company executives, David or informal Slack messages; there is no consistent evaluation or intake step.</t>
  </si>
  <si>
    <t>Open access without structured intake prevents DI from comparing demand against strategy, impact and available capacity.</t>
  </si>
  <si>
    <t>Validate request volume and channels with Investment Partners and David.</t>
  </si>
  <si>
    <t>Competing requests are resolved through urgency and influence rather than explicit trade-offs.</t>
  </si>
  <si>
    <t>Marcus described prioritization as 'loudest voice wins'; urgent work displaces planned work without a formal decision or communication to the affected stakeholder.</t>
  </si>
  <si>
    <t>DI lacks transparent prioritization criteria and a mechanism for making and communicating trade-off decisions.</t>
  </si>
  <si>
    <t>Strong repeated pattern; triangulate how David and Investment Partners perceive current prioritization.</t>
  </si>
  <si>
    <t>Urgent requests create material disruption beyond their initial estimate.</t>
  </si>
  <si>
    <t>A two-day physician-targeting request expanded to two weeks, stalled a rare-disease patient-matching project, frustrated the original company and required ten days of late work to recover.</t>
  </si>
  <si>
    <t>DI accepts urgent work without adequately testing scope, dependency and displacement consequences.</t>
  </si>
  <si>
    <t>Concrete displacement example supporting the intake and trade-off issue.</t>
  </si>
  <si>
    <t>SCP-01</t>
  </si>
  <si>
    <t>Scoping &amp; Delivery</t>
  </si>
  <si>
    <t>Projects begin without sufficiently clear scope, stakeholder obligations or a definition of done.</t>
  </si>
  <si>
    <t>One six-week engagement expanded to fourteen weeks; initial releases are followed by repeated feature requests and a long tail of support because completion criteria were not agreed.</t>
  </si>
  <si>
    <t>DI lacks a lightweight engagement charter defining outcomes, boundaries, milestones, client inputs and transition or exit criteria.</t>
  </si>
  <si>
    <t>Separate from prioritization: this concerns how accepted work is scoped and closed.</t>
  </si>
  <si>
    <t>CAP-01</t>
  </si>
  <si>
    <t>Capacity Planning</t>
  </si>
  <si>
    <t>Pod capacity and delivery commitments are based largely on judgment rather than visible workload data.</t>
  </si>
  <si>
    <t>Marcus cannot readily quantify time by project or see whether Priya's pod is at 50% or 150% capacity; commitments are made before cross-pod capacity is known.</t>
  </si>
  <si>
    <t>DI lacks a shared, sufficiently lightweight capacity view to support credible commitments and data-backed trade-offs.</t>
  </si>
  <si>
    <t>Validate what utilization data can be captured without burdensome time tracking.</t>
  </si>
  <si>
    <t>XPD-01</t>
  </si>
  <si>
    <t>Cross-Pod Coordination</t>
  </si>
  <si>
    <t>Cross-pod dependencies are identified and managed too late.</t>
  </si>
  <si>
    <t>Marcus requests pipelines or schema changes through Slack; required work may not be on Priya's backlog, leaving his delivery waiting or forcing timeline changes.</t>
  </si>
  <si>
    <t>DI lacks integrated roadmaps and an explicit process to surface, accept and sequence cross-pod dependencies before commitments are made.</t>
  </si>
  <si>
    <t>Marcus identified this as one of the two highest-priority operational issues.</t>
  </si>
  <si>
    <t>Unaligned pod priorities make end-to-end delivery dates unreliable.</t>
  </si>
  <si>
    <t>A feature promised in two weeks took six weeks after a required data pipeline was delayed; Marcus had committed externally without Priya's team agreeing the dependency.</t>
  </si>
  <si>
    <t>Each pod maintains its own priorities without a shared commitment point for projects requiring both teams.</t>
  </si>
  <si>
    <t>Concrete example; compare with Priya's account of the same operating mechanism.</t>
  </si>
  <si>
    <t>End-to-end accountability becomes unclear when delivery crosses pod or organizational boundaries.</t>
  </si>
  <si>
    <t>Marcus remains accountable to the portfolio company for timeline or data-quality failures but lacks authority over Priya's backlog, Compliance review or portfolio-company inputs.</t>
  </si>
  <si>
    <t>Functional ownership exists inside pods, but no one owns the integrated outcome and escalation across contributors.</t>
  </si>
  <si>
    <t>Corroborates Elena's broader role-and-accountability issue with a concrete delivery context.</t>
  </si>
  <si>
    <t>PMO-01</t>
  </si>
  <si>
    <t>Portfolio Visibility &amp; Operating Rhythm</t>
  </si>
  <si>
    <t>DI lacks a shared source of truth for projects, status, rationale, dependencies and risks.</t>
  </si>
  <si>
    <t>Status is held in Marcus's memory, Slack and partial project documents; David, Priya and Partners must ask Marcus directly for updates and may receive different versions.</t>
  </si>
  <si>
    <t>DI lacks a consistently maintained portfolio view that allows stakeholders to self-serve reliable project information.</t>
  </si>
  <si>
    <t>Tool choice is secondary; the main gap is common data standards and update discipline.</t>
  </si>
  <si>
    <t>Existing DI forums emphasize status reporting rather than forward-looking coordination and decisions.</t>
  </si>
  <si>
    <t>The weekly DI meeting is mainly rapid-fire updates; there is no regular tactical forum for resolving dependencies, reviewing capacity or escalating risks before they affect delivery.</t>
  </si>
  <si>
    <t>DI's operating cadence does not convert portfolio information into cross-pod decisions and early intervention.</t>
  </si>
  <si>
    <t>Distinguish the required execution forum from existing pod stand-ups and high-level updates.</t>
  </si>
  <si>
    <t>CORP-02</t>
  </si>
  <si>
    <t>Compliance and legal review timelines are opaque and unpredictable.</t>
  </si>
  <si>
    <t>External deployments may receive review in three days or three weeks; submissions can sit without visible status, preventing Marcus from providing credible launch dates.</t>
  </si>
  <si>
    <t>DI lacks a predictable intake, status and service-level mechanism for recurring Compliance/Legal reviews.</t>
  </si>
  <si>
    <t>Validate with Sarah, including review types, capacity and risk-based differentiation.</t>
  </si>
  <si>
    <t>CORP-03</t>
  </si>
  <si>
    <t>Security and data-access enablement requires excessive manual coordination.</t>
  </si>
  <si>
    <t>Marcus reports that security clearance, VPN or data-access setup can require up to three weeks of email follow-up before technical work begins.</t>
  </si>
  <si>
    <t>DI lacks a clearly routed, risk-appropriate access pathway for portfolio-support engagements with external deadlines.</t>
  </si>
  <si>
    <t>Triangulate with IT/SecOps and distinguish Deerfield-controlled delays from portfolio-company delays.</t>
  </si>
  <si>
    <t>PCE-01</t>
  </si>
  <si>
    <t>Portfolio Company Engagement</t>
  </si>
  <si>
    <t>Portfolio-company engagements begin without a standardized handoff or clear counterpart responsibilities.</t>
  </si>
  <si>
    <t>Investment teams may provide vague context with little lead time; the pod then spends substantial time clarifying the problem and chasing the company for data, access or feedback.</t>
  </si>
  <si>
    <t>DI lacks a repeatable engagement model specifying the request brief, sponsor, company counterpart, required inputs and shared responsibilities.</t>
  </si>
  <si>
    <t>Related to intake but retained separately because it governs accepted engagements and client obligations.</t>
  </si>
  <si>
    <t>PLC-01</t>
  </si>
  <si>
    <t>Product Lifecycle &amp; Knowledge</t>
  </si>
  <si>
    <t>Ownership for post-launch maintenance and support is unclear.</t>
  </si>
  <si>
    <t>When a schema change breaks a portfolio-company tool or a minor update is requested months later, work may fall between pods or pull Marcus's engineer away from new delivery.</t>
  </si>
  <si>
    <t>DI has not defined product ownership, support expectations or transition criteria after initial deployment.</t>
  </si>
  <si>
    <t>Validate the current inventory of deployed tools and recurring support demand.</t>
  </si>
  <si>
    <t>Critical delivery knowledge is largely tribal and inconsistently documented.</t>
  </si>
  <si>
    <t>Business rationale, data-source choices, compliance lessons and project history are spread across people, code and Slack, increasing the risk of relearning prior decisions as DI grows.</t>
  </si>
  <si>
    <t>DI lacks minimum documentation standards and a searchable knowledge base for reusable delivery and compliance knowledge.</t>
  </si>
  <si>
    <t>Keep documentation proportional; validate the most common repeat questions and handoff failures.</t>
  </si>
  <si>
    <t>Pod leaders and technical staff spend material time on coordination and administrative chasing.</t>
  </si>
  <si>
    <t>Marcus acts as status reporter, project manager and relationship coordinator; engineers chase access and data. He estimates removing this meta-work could improve pod throughput by 20–30%.</t>
  </si>
  <si>
    <t>Missing operational ownership shifts nontechnical coordination onto scarce technical and leadership capacity.</t>
  </si>
  <si>
    <t>Throughput estimate is directional; validate time allocation and recurring coordination tasks.</t>
  </si>
  <si>
    <t>DI lacks a consistent view of project impact to inform prioritization and stakeholder confidence.</t>
  </si>
  <si>
    <t>Marcus wants project outcomes such as time or cost saved visible alongside the work queue so new requests can be compared against demonstrated impact.</t>
  </si>
  <si>
    <t>DI's portfolio information emphasizes activity and status more than realized outcomes, limiting evidence-based prioritization and value communication.</t>
  </si>
  <si>
    <t>Corroborates James's reporting concern; validate available outcome measures with portfolio companies and Investment Partners.</t>
  </si>
  <si>
    <t>Priya Sharma</t>
  </si>
  <si>
    <t>AI Investment Systems Pod</t>
  </si>
  <si>
    <t>Priya's pod has strong technical autonomy, rapid delivery and a direct feedback loop with investment users.</t>
  </si>
  <si>
    <t>David provides outcome-oriented problems without micromanaging the technical solution; Priya cited an FDA-meeting tool that analysts used in real investment decisions shortly after launch.</t>
  </si>
  <si>
    <t>The operating model should improve focus and coordination while preserving technical autonomy, direct user feedback and delivery speed.</t>
  </si>
  <si>
    <t>The pod lead spends substantial time on work outside technical leadership.</t>
  </si>
  <si>
    <t>Priya tracked approximately 30% of her time on vendor follow-up, budget discussions, IT coordination, project status, onboarding and other administration.</t>
  </si>
  <si>
    <t>Missing operational ownership shifts recurring coordination and administrative work onto scarce technical leadership capacity.</t>
  </si>
  <si>
    <t>Corroborates Marcus's operational-leverage issue with a quantified time estimate.</t>
  </si>
  <si>
    <t>Technical onboarding depends on manual guidance and incomplete documentation.</t>
  </si>
  <si>
    <t>A new engineer from Palantir took about three weeks to become productive; Priya manually walked him through systems, environment setup and deployment because the relevant materials were unavailable or outdated.</t>
  </si>
  <si>
    <t>DI lacks role-based technical onboarding, ready access and a documented engineering setup path.</t>
  </si>
  <si>
    <t>Corroborates Elena's three-week access/productivity example from a pod-lead perspective.</t>
  </si>
  <si>
    <t>Technical knowledge and operating guidance are fragmented and often outdated.</t>
  </si>
  <si>
    <t>Priya described sparse tribal knowledge and READMEs that can be six months out of date; deployment scripts, data dictionaries and core-system guidance are difficult for new engineers to locate.</t>
  </si>
  <si>
    <t>DI lacks minimum documentation standards, a clear knowledge structure and protected capacity for content experts to maintain critical technical guidance.</t>
  </si>
  <si>
    <t>Corroborates Marcus; Operations should own scaffolding and cadence, while engineers own technical content.</t>
  </si>
  <si>
    <t>Vendor procurement lacks one accountable owner and visible end-to-end workflow.</t>
  </si>
  <si>
    <t>Priya coordinates budget approval, Legal/Data Privacy, Security, execution and access through email and Slack; she cannot see where a request sits without repeatedly chasing each function.</t>
  </si>
  <si>
    <t>DI lacks one operational front door, standard submission requirements, visible stages and active orchestration across Finance, Legal and IT.</t>
  </si>
  <si>
    <t>Strong corroboration of the fit-for-purpose procurement issue identified by Elena and James.</t>
  </si>
  <si>
    <t>Pod-level budget availability is unclear to the people making tool and resource decisions.</t>
  </si>
  <si>
    <t>Priya cannot readily state her pod's available budget for new tools or headcount and often requires James and David to determine whether a request can proceed.</t>
  </si>
  <si>
    <t>DI's financial plan is not translated into accessible pod-level guardrails that support timely operating decisions.</t>
  </si>
  <si>
    <t>Corroborates the financial-planning gap; validate whether formal budgets exist but are not communicated.</t>
  </si>
  <si>
    <t>The investment-systems pod lacks a controlled intake and prioritization process.</t>
  </si>
  <si>
    <t>Requests arrive from analysts, David and Marcus through Slack or conversation; there is no front door, visible queue or common evaluation process.</t>
  </si>
  <si>
    <t>Unstructured demand prevents DI from comparing requests consistently against strategy, impact, dependencies and capacity.</t>
  </si>
  <si>
    <t>Directly corroborates Marcus despite serving a different internal customer group.</t>
  </si>
  <si>
    <t>Priority changes regularly displace planned work without explicit trade-off management.</t>
  </si>
  <si>
    <t>Urgent requests cause engineers to stop partially completed work, often without communicating the resulting delay; Priya described a Marcus dependency that displaced a clinical-trial summarization project for a week.</t>
  </si>
  <si>
    <t>DI lacks a protected planning horizon and a decision mechanism that makes the consequences of priority changes visible.</t>
  </si>
  <si>
    <t>Mirrors Marcus's displacement example from the supplying pod's perspective.</t>
  </si>
  <si>
    <t>The pod has no shared roadmap, backlog or project-tracking source of truth.</t>
  </si>
  <si>
    <t>The roadmap is largely a wish list in David's head, Slack threads and Priya's personal notes; there is no quarterly planning process or public, maintained backlog.</t>
  </si>
  <si>
    <t>DI lacks a lightweight planning and portfolio-management discipline that makes committed, deferred and blocked work visible.</t>
  </si>
  <si>
    <t>Strong corroboration of Marcus's portfolio-visibility issue.</t>
  </si>
  <si>
    <t>Marcus can commit Priya's capacity before her pod has accepted the dependency.</t>
  </si>
  <si>
    <t>Marcus promised a portfolio-company feature requiring Priya's team; she learned of it one week before the deadline and the team worked late to deliver.</t>
  </si>
  <si>
    <t>Cross-pod work is not jointly scoped, capacity-checked and committed before external dates are communicated.</t>
  </si>
  <si>
    <t>Corroborates Marcus's example while confirming that the late request affected Priya's team.</t>
  </si>
  <si>
    <t>Shared technical dependencies and changes are not consistently visible across pods.</t>
  </si>
  <si>
    <t>Priya may refactor a shared data stream without knowing Marcus's dashboard depends on it; delays or interface changes can surface only when downstream work fails.</t>
  </si>
  <si>
    <t>DI lacks dependency mapping, interface contracts and lightweight change communication for shared services.</t>
  </si>
  <si>
    <t>Extends Marcus's coordination issue from scheduling into technical dependency management.</t>
  </si>
  <si>
    <t>Accountability outside the pod defaults to the person most motivated to move the work forward.</t>
  </si>
  <si>
    <t>Vendor reviews, shared data problems and cross-pod commitments lack explicit ownership; expectations are often informal Slack promises, so tasks can be duplicated or missed.</t>
  </si>
  <si>
    <t>Clear within-pod ownership is not matched by end-to-end accountability and escalation across DI and central functions.</t>
  </si>
  <si>
    <t>Further corroborates Elena and Marcus on cross-boundary accountability.</t>
  </si>
  <si>
    <t>PLT-01</t>
  </si>
  <si>
    <t>Shared Platform &amp; Data Governance</t>
  </si>
  <si>
    <t>Shared infrastructure, DevOps and data-governance responsibilities fall between the pods.</t>
  </si>
  <si>
    <t>Neither pod clearly owns common cloud foundations, automated testing, shared documentation conventions or cross-pod data quality; teams may build separate cleanup solutions.</t>
  </si>
  <si>
    <t>DI lacks explicit ownership and common standards for shared technical foundations used by multiple pods.</t>
  </si>
  <si>
    <t>New issue distinct from individual project dependencies; validate with architecture and support inventories.</t>
  </si>
  <si>
    <t>Legal and compliance reviews create material and unpredictable delivery delay.</t>
  </si>
  <si>
    <t>Approval for new data uses or tools can take weeks; Priya translates technical details to lawyers and legal risks back to engineers through repeated one-off exchanges.</t>
  </si>
  <si>
    <t>DI lacks a repeatable, context-rich and risk-tiered workflow for Legal/Compliance decisions.</t>
  </si>
  <si>
    <t>Corroborates Marcus's experience with opaque compliance turnaround.</t>
  </si>
  <si>
    <t>IT Security and access support lack sufficient context, capacity and predictable routing for DI.</t>
  </si>
  <si>
    <t>Priya may wait days for responses and spend significant time explaining AWS permissions, libraries or deployment context to support resources not embedded in DI.</t>
  </si>
  <si>
    <t>DI lacks a named interface and fit-for-purpose pathway for recurring security, access and technical-enablement needs.</t>
  </si>
  <si>
    <t>Corroborates Marcus; validate actual turnaround by request type with IT/SecOps.</t>
  </si>
  <si>
    <t>Coordination with central functions is entirely ad hoc and repeatedly starts from zero.</t>
  </si>
  <si>
    <t>There are no standing forums or embedded/named counterparts with DI context; Priya locates Sarah, James or IT contacts as needed and follows up repeatedly to maintain momentum.</t>
  </si>
  <si>
    <t>DI lacks an operating interface that preserves context, clarifies routing and provides predictable service without embedding full functional teams.</t>
  </si>
  <si>
    <t>Related to individual workflows but retained as the cross-functional operating-model issue.</t>
  </si>
  <si>
    <t>DI does not consistently measure the impact of its investment systems.</t>
  </si>
  <si>
    <t>Priya reports that success is inferred largely from analyst satisfaction; she believes DI will need clearer outcome and ROI measures to justify increased headcount and budget.</t>
  </si>
  <si>
    <t>DI lacks a practical measurement framework connecting delivered capabilities to user productivity, decision quality or other defensible outcomes.</t>
  </si>
  <si>
    <t>Corroborates James and Marcus; define metrics without overstating causal investment returns.</t>
  </si>
  <si>
    <t>Priya considers formal career architecture and comprehensive documentation lower priority than intake and external bottlenecks over the next six months.</t>
  </si>
  <si>
    <t>Her team is small, senior and currently motivated by the work; she believes career frameworks can wait and documentation should improve after workload pressure is reduced.</t>
  </si>
  <si>
    <t>People and knowledge issues may be real but are not equally urgent; prioritization should reflect current pain, scale timing and capacity to implement.</t>
  </si>
  <si>
    <t>Counter-evidence for urgency only; excluded from issue counts so it does not falsely increase corroboration.</t>
  </si>
  <si>
    <t>Sarah</t>
  </si>
  <si>
    <t>Compliance / Central Function</t>
  </si>
  <si>
    <t>DI's leaders and engineers show respect for compliance obligations and collaborate constructively once engaged.</t>
  </si>
  <si>
    <t>Sarah described David as committed to doing things correctly and the engineers as patient, collaborative partners who explain technical details without dismissing Compliance.</t>
  </si>
  <si>
    <t>The control model should build on a receptive culture rather than assume the team is intentionally disregarding regulatory obligations.</t>
  </si>
  <si>
    <t>Positive context only; excluded from issue counts and retained to define what the redesign should preserve.</t>
  </si>
  <si>
    <t>Compliance is commonly engaged too late to influence project and data-source design efficiently.</t>
  </si>
  <si>
    <t>Sarah often learns about projects or vendors near launch; the physician-sentiment tool required last-minute privacy and vendor work that would have been easier during provider selection.</t>
  </si>
  <si>
    <t>DI lacks an early, reliable Compliance engagement point in its project lifecycle, creating avoidable rework and launch delay.</t>
  </si>
  <si>
    <t>Corroborates Marcus and Priya while clarifying that late visibility is a major cause of unpredictable review timelines.</t>
  </si>
  <si>
    <t>The triggers for Compliance involvement are neither documented nor consistently understood.</t>
  </si>
  <si>
    <t>Engagement depends on David's intuition, email, Slack or an engineer realizing that Sarah may need to review a new data source, scraping method, model use or vendor contract.</t>
  </si>
  <si>
    <t>DI lacks simple risk-based trigger questions and an intake mechanism that routes relevant work to Compliance at the appropriate stage.</t>
  </si>
  <si>
    <t>Same root cause as late engagement; do not treat the intake form itself as a separate issue.</t>
  </si>
  <si>
    <t>New data vendors and AI services can be used before cross-functional due diligence is complete.</t>
  </si>
  <si>
    <t>Sarah discovered by chance that DI had integrated a data source with questionable sourcing practices; the team removed it after work had already been built on top of it.</t>
  </si>
  <si>
    <t>DI lacks a mandatory pre-use vendor and data-source gate that coordinates Procurement, Legal, Compliance and Security before commitment or integration.</t>
  </si>
  <si>
    <t>Strong corroboration of the procurement issue with evidence of rework and underlying regulatory exposure.</t>
  </si>
  <si>
    <t>Vendor due diligence is not supported by a standard checklist, clear process owner or visible status.</t>
  </si>
  <si>
    <t>Sarah owns Compliance judgment but currently asks questions only after she becomes aware of a vendor; she wants Operations to ensure sourcing, privacy, contractual and security checks are completed.</t>
  </si>
  <si>
    <t>The vendor pathway lacks standard submission requirements and end-to-end operational ownership, while specialist functions retain their decision rights.</t>
  </si>
  <si>
    <t>Corroborates Priya and James; Operations should own orchestration, not legal or compliance interpretation.</t>
  </si>
  <si>
    <t>One-size-fits-all approval processes encourage DI to bypass controls for low-risk experimentation.</t>
  </si>
  <si>
    <t>Firm-wide software and procurement steps can take weeks even for a niche API or short experiment, so engineers sometimes work around the formal route to maintain speed.</t>
  </si>
  <si>
    <t>DI needs a risk-tiered fast path that distinguishes sandbox experimentation from production use without creating an uncontrolled back door.</t>
  </si>
  <si>
    <t>Corroborates Elena, James and Priya on process fit; this is a design requirement within the procurement issue, not a separate policy issue.</t>
  </si>
  <si>
    <t>MDL-01</t>
  </si>
  <si>
    <t>Model Governance</t>
  </si>
  <si>
    <t>DI lacks a formal inventory and governance lifecycle for AI models that influence investment activity.</t>
  </si>
  <si>
    <t>Sarah cannot point to a central record of model purpose, training data, limitations, bias, ownership, validation or ongoing performance and drift monitoring.</t>
  </si>
  <si>
    <t>DI has not embedded minimum regulatory documentation, accountability and periodic review into the lifecycle of investment-related models.</t>
  </si>
  <si>
    <t>New issue distinct from general technical documentation because it governs regulated model use and evidence of control.</t>
  </si>
  <si>
    <t>Technical model knowledge is not translated into evidence that can support regulatory review.</t>
  </si>
  <si>
    <t>Engineers focus on whether a model works, while Compliance needs to explain why it produced an outcome, how it was trained, its limitations and how behavior is monitored over time.</t>
  </si>
  <si>
    <t>Model documentation is not part of the definition of done, leaving effective technical work without a defensible governance record.</t>
  </si>
  <si>
    <t>Same model-governance issue; Operations can enforce completion while technical owners provide content and Compliance sets standards.</t>
  </si>
  <si>
    <t>IAM-01</t>
  </si>
  <si>
    <t>Access &amp; Information Barriers</t>
  </si>
  <si>
    <t>Access controls and information barriers are not documented or evidenced at the level required for regulated investment activity.</t>
  </si>
  <si>
    <t>Sarah has repeatedly requested an access-control matrix and cannot definitively reconstruct who could access specific physician-sentiment data on a past date; policy is not consistently translated into engineering workflows.</t>
  </si>
  <si>
    <t>DI lacks documented access entitlements, review evidence and operational controls for sensitive research and data.</t>
  </si>
  <si>
    <t>New issue distinct from slow access provisioning: CORP-03 concerns enablement speed, while IAM-01 concerns control sufficiency and evidence.</t>
  </si>
  <si>
    <t>DPG-01</t>
  </si>
  <si>
    <t>Data Privacy &amp; Governance</t>
  </si>
  <si>
    <t>DI lacks a sufficiently explicit control framework for sensitive personal data and outbound third-party data use.</t>
  </si>
  <si>
    <t>Sarah highlighted PHI and PII exposure, missing data-flow diagrams and limited visibility into what sensitive information is sent to external AI tools or specialized APIs.</t>
  </si>
  <si>
    <t>DI has not consistently documented data flows, permitted uses, external disclosures and required privacy protections for sensitive datasets.</t>
  </si>
  <si>
    <t>New issue focused on data handling after acquisition; vendor intake remains under CORP-01.</t>
  </si>
  <si>
    <t>PCE-02</t>
  </si>
  <si>
    <t>Regulatory responsibility and liability are unclear when DI deploys technology to portfolio companies.</t>
  </si>
  <si>
    <t>The team can treat a handoff as the portfolio company's responsibility, but Sarah believes accountability becomes ambiguous when DI supplies the technology, model or data.</t>
  </si>
  <si>
    <t>DI lacks a standard risk and accountability framework for portfolio deployments, including ownership, permitted use, disclosures and escalation.</t>
  </si>
  <si>
    <t>New issue separate from PCE-01, which concerns engagement intake and counterpart obligations rather than regulatory accountability for deployed products.</t>
  </si>
  <si>
    <t>Decision rights for data due diligence and live-model risk are unclear across DI and Compliance.</t>
  </si>
  <si>
    <t>Teams may assume an existing Deerfield vendor is approved for any use case, and ownership is unclear if a live model produces a biased or incorrect investment-relevant output.</t>
  </si>
  <si>
    <t>DI has not defined who owns use-case approval, technical remediation, compliance assessment and escalation for live regulated systems.</t>
  </si>
  <si>
    <t>Corroborates the broader cross-boundary accountability issue with compliance-specific decision examples.</t>
  </si>
  <si>
    <t>The DI–Compliance relationship operates through ad hoc outreach rather than a predictable information-sharing cadence.</t>
  </si>
  <si>
    <t>There is no standing forum; Sarah pulls information from David and engineers and wants a bi-weekly roadmap preview with the Operations lead covering work moving from sandbox to production and new vendors.</t>
  </si>
  <si>
    <t>DI lacks a named operational counterpart and recurring forum that provides central functions with timely roadmap context without consuming engineering capacity.</t>
  </si>
  <si>
    <t>Directly corroborates Priya's description of ad hoc central-function coordination.</t>
  </si>
  <si>
    <t>Compliance-relevant documentation is fragmented, unavailable or created only after request.</t>
  </si>
  <si>
    <t>Access lists, data-flow diagrams and high-level model records are not held in a central repository, leaving Sarah dependent on people remembering and reconstructing information.</t>
  </si>
  <si>
    <t>DI lacks minimum documentation standards and a maintained source of truth for the operational and compliance record of products, models and data flows.</t>
  </si>
  <si>
    <t>Corroborates Marcus and Priya; more specialized control requirements remain captured under MDL-01, IAM-01 and DPG-01.</t>
  </si>
  <si>
    <t>Early-stage experimentation with public, non-sensitive data should remain lightweight.</t>
  </si>
  <si>
    <t>Sarah does not want lengthy review for sandbox exploration and estimates much routine checking could be handled through clear guardrails, reserving Compliance judgment for novel or high-risk uses.</t>
  </si>
  <si>
    <t>The future control model should be risk-tiered, with explicit boundaries between experimentation and production and automated or checklist-based handling for routine cases.</t>
  </si>
  <si>
    <t>Design principle and counterweight to over-control; excluded from issue counts.</t>
  </si>
  <si>
    <t>David Chen</t>
  </si>
  <si>
    <t>CIO / DI Leadership</t>
  </si>
  <si>
    <t>2026-09-19</t>
  </si>
  <si>
    <t>DI's speed, technical autonomy and ability to begin experiments quickly are central to its talent model and performance.</t>
  </si>
  <si>
    <t>David believes Priya and Marcus value the absence of large-company bureaucracy and wants product development and R&amp;D to continue operating like a high-velocity technology team.</t>
  </si>
  <si>
    <t>The operating model should add only the minimum structure needed for visibility, coordination and control while protecting technical autonomy and delivery speed.</t>
  </si>
  <si>
    <t>Leadership design principle; excluded from issue counts and retained to define what the redesign must preserve.</t>
  </si>
  <si>
    <t>David wants DI to remain flat and avoid layers of middle management as it grows.</t>
  </si>
  <si>
    <t>He explicitly wants to preserve direct, rapid collaboration and avoid operational excellence becoming additional meetings, management layers or unused tracking requirements.</t>
  </si>
  <si>
    <t>The target organization should first test whether clear pod leadership, decision rights and operating mechanisms can provide scale without a conventional management hierarchy.</t>
  </si>
  <si>
    <t>Counter-evidence to the urgency and form of WFP-02; excluded from issue counts rather than treated as additional corroboration.</t>
  </si>
  <si>
    <t>David lacks a reliable source of truth for pod roadmaps, project status and budgets.</t>
  </si>
  <si>
    <t>He must find Marcus or Priya to understand current work; alignment lives largely in his head, the weekly sync is informal and there is no central dashboard or maintained roadmap.</t>
  </si>
  <si>
    <t>DI lacks a lightweight portfolio view and operating rhythm that make priorities, status, dependencies and financial implications visible without manual inquiry.</t>
  </si>
  <si>
    <t>Strong leadership-level corroboration of the issue raised independently by both pod leads.</t>
  </si>
  <si>
    <t>Resource conflicts and priority trade-offs depend on David's case-by-case intervention.</t>
  </si>
  <si>
    <t>When Priya and Marcus need the same technical capacity, both escalate to David; he decides based largely on immediate deadlines or financial importance and acknowledges the model will not scale.</t>
  </si>
  <si>
    <t>DI lacks agreed prioritization criteria and a visible decision process that resolves trade-offs below the CIO level and makes displacement consequences explicit.</t>
  </si>
  <si>
    <t>Corroborates the pod interviews and identifies the current decision bottleneck directly.</t>
  </si>
  <si>
    <t>David spends material time acting as the operational fixer and translator across corporate functions.</t>
  </si>
  <si>
    <t>He described chasing Finance on renewals, spending four hours translating a vendor contract and using personal political capital to accelerate HR, Legal and procurement matters.</t>
  </si>
  <si>
    <t>Missing operational ownership forces the CIO to manage routine exceptions and cross-functional translation instead of focusing on strategy, investment systems and organizational leadership.</t>
  </si>
  <si>
    <t>Extends the operational-leverage issue from pod leaders to the CIO.</t>
  </si>
  <si>
    <t>Access and compliance setup can prevent a new engineer from contributing code for approximately three weeks.</t>
  </si>
  <si>
    <t>David cited a recent engineer who lacked the required permissions for three weeks and set an aspiration for new engineers to become productive within four days.</t>
  </si>
  <si>
    <t>DI lacks an end-to-end, pre-coordinated technical onboarding pathway with clear owners and time-bound access provisioning.</t>
  </si>
  <si>
    <t>Appears to be the same incident cited by Elena and Priya; confirms leadership visibility but should not be counted as a third independent event.</t>
  </si>
  <si>
    <t>DI lacks reliable oversight of vendor utilization and renewals.</t>
  </si>
  <si>
    <t>David discovered that DI had paid approximately $40,000 over six months for a SaaS tool that nobody was using and wants renewals visible before they occur.</t>
  </si>
  <si>
    <t>DI lacks a complete vendor inventory, accountable business owners, usage review and timely renewal decisions.</t>
  </si>
  <si>
    <t>Corroborates James's vendor-management evidence with a quantified example from the CIO; may refer to the same underlying portfolio review.</t>
  </si>
  <si>
    <t>The standard vendor and procurement pathway is disproportionate for low-dollar, time-sensitive technology purchases.</t>
  </si>
  <si>
    <t>David described lengthy negotiation for niche tools worth roughly $5,000–$10,000 and wants pre-approved templates and risk tiers so low-risk purchases move quickly.</t>
  </si>
  <si>
    <t>DI needs a risk-tiered vendor pathway with standard terms, defined thresholds and escalation only for material exceptions.</t>
  </si>
  <si>
    <t>Strong corroboration of Elena, James, Priya and Sarah; fast-track design belongs within the procurement issue rather than becoming a separate issue.</t>
  </si>
  <si>
    <t>Legal and Compliance review of contracts and new data uses can be slow and overly bespoke relative to the underlying risk.</t>
  </si>
  <si>
    <t>David described multi-week contract redlining and repeated translation between technical vendors and corporate reviewers; data ingestion can require separate usage-rights and privacy discussions.</t>
  </si>
  <si>
    <t>DI lacks a context-rich, risk-tiered Legal and Compliance workflow with standard positions, early engagement and clear escalation for true dealbreakers.</t>
  </si>
  <si>
    <t>Sarah corroborates the need for risk-tiering and early intake; validate exact Legal ownership because source descriptions of Sarah's functional role are inconsistent.</t>
  </si>
  <si>
    <t>The current recruiting process is too slow to secure scarce senior technical talent.</t>
  </si>
  <si>
    <t>David cited a senior ML engineer search lasting four months, with candidates lost because feedback and decisions did not move at market speed.</t>
  </si>
  <si>
    <t>DI lacks an actively managed hiring process with reserved capacity, rapid feedback and clear ownership at each stage.</t>
  </si>
  <si>
    <t>Appears to be the same search cited by Elena; corroborates leadership concern but should not be counted as a separate hiring event.</t>
  </si>
  <si>
    <t>DI lacks one operational interface across Finance, HR, Legal and Compliance.</t>
  </si>
  <si>
    <t>David currently translates technical urgency into corporate context himself and wants Operations to understand functional requirements, manage routine follow-through and escalate only the small number of genuine exceptions.</t>
  </si>
  <si>
    <t>DI needs a single operational counterpart that preserves context across central functions while specialist teams retain their professional judgment and decision rights.</t>
  </si>
  <si>
    <t>Leadership-level corroboration of Priya and Sarah's central-function operating-model issue.</t>
  </si>
  <si>
    <t>DI's high-velocity development model cannot extend unchanged to sensitive clinical data and regulated data use.</t>
  </si>
  <si>
    <t>David distinguishes fast experimentation in product development from the need to operate in lock-step with Deerfield on HIPAA, sensitive clinical data, intellectual-property rights and permitted data use.</t>
  </si>
  <si>
    <t>DI lacks an explicit risk boundary that defines when experimentation becomes a governed data use requiring formal privacy, rights and control review.</t>
  </si>
  <si>
    <t>Corroborates Sarah's data-governance issue while establishing that the CIO supports stronger controls in this domain.</t>
  </si>
  <si>
    <t>Target Outcome / Measure</t>
  </si>
  <si>
    <t>DI lacks a controlled intake and prioritization process across investment, portfolio-company and internal demand.</t>
  </si>
  <si>
    <t>Requests enter through multiple informal channels, and DI has no agreed criteria, decision forum or visible mechanism for managing trade-offs and displacement.</t>
  </si>
  <si>
    <t>Requires agreement from David and pod leads on decision rights and prioritization criteria.</t>
  </si>
  <si>
    <t>Director of Operations + David + pod leads</t>
  </si>
  <si>
    <t>Ready now</t>
  </si>
  <si>
    <t>0–30 days</t>
  </si>
  <si>
    <t>Create one intake, common evaluation criteria, a visible queue and a weekly prioritization decision forum.</t>
  </si>
  <si>
    <t>All new requests enter one queue; owners can identify accepted, deferred and displaced work and the reason for each decision.</t>
  </si>
  <si>
    <t>DI lacks a shared source of truth and forward-looking operating rhythm for its portfolio of work.</t>
  </si>
  <si>
    <t>Roadmaps, status, decisions, dependencies and risks live across individual memory, Slack and partial documents without common update standards.</t>
  </si>
  <si>
    <t>Depends on minimum portfolio fields and update ownership; should launch with the intake process.</t>
  </si>
  <si>
    <t>Director of Operations + pod leads</t>
  </si>
  <si>
    <t>Stand up a lightweight portfolio view and redesign the weekly DI forum around decisions, dependencies, capacity and risks.</t>
  </si>
  <si>
    <t>One current portfolio view covers every active initiative; the weekly forum resolves exceptions rather than collecting status updates.</t>
  </si>
  <si>
    <t>Cross-pod dependencies are surfaced and committed too late, making delivery dates unreliable.</t>
  </si>
  <si>
    <t>Pods maintain separate priorities and can make external commitments before shared capacity, interfaces and dependency dates are jointly accepted.</t>
  </si>
  <si>
    <t>Requires the shared portfolio view and explicit authority to accept cross-pod commitments.</t>
  </si>
  <si>
    <t>Director of Operations + Priya + Marcus</t>
  </si>
  <si>
    <t>Add dependency mapping, joint acceptance and change notification to planning and project setup.</t>
  </si>
  <si>
    <t>Every cross-pod commitment has an accepted owner and date before an external promise is made; unresolved dependencies are reviewed weekly.</t>
  </si>
  <si>
    <t>Capacity and delivery commitments are based on judgment rather than a visible workload view.</t>
  </si>
  <si>
    <t>DI does not maintain a common view of committed work, available specialist capacity or the capacity effect of priority changes.</t>
  </si>
  <si>
    <t>Requires defined work categories and a deliberately lightweight approach that avoids detailed time tracking.</t>
  </si>
  <si>
    <t>Needs alignment</t>
  </si>
  <si>
    <t>Create a simple capacity view using team allocation bands, major commitments and known dependency demand.</t>
  </si>
  <si>
    <t>Pod leads can identify over-capacity roles and quantify the capacity displaced by a proposed priority change.</t>
  </si>
  <si>
    <t>Accepted projects can begin without clear scope, stakeholder obligations or a definition of done.</t>
  </si>
  <si>
    <t>DI has no standard engagement charter defining outcomes, boundaries, milestones, required inputs and transition or exit criteria.</t>
  </si>
  <si>
    <t>Should align with the portfolio-company engagement model and intake gate.</t>
  </si>
  <si>
    <t>Director of Operations + Marcus</t>
  </si>
  <si>
    <t>31–60 days</t>
  </si>
  <si>
    <t>Introduce a one-page engagement charter and stage gates for material projects.</t>
  </si>
  <si>
    <t>All newly accepted material projects document scope, sponsor, inputs, milestones, definition of done and transition approach before work begins.</t>
  </si>
  <si>
    <t>Investment sponsors and portfolio companies do not consistently provide a complete brief, named counterpart, data access or timely decisions.</t>
  </si>
  <si>
    <t>Requires sponsor alignment and should be integrated into project intake and scoping.</t>
  </si>
  <si>
    <t>Director of Operations + Marcus + investment sponsor</t>
  </si>
  <si>
    <t>Create a portfolio-company engagement brief, sponsor checklist and mutual responsibility agreement.</t>
  </si>
  <si>
    <t>New engagements begin with a named sponsor and company counterpart, agreed problem statement, required inputs and escalation path.</t>
  </si>
  <si>
    <t>DI has not defined ownership, permitted use, disclosures, monitoring or escalation when it supplies models, technology or data to another entity.</t>
  </si>
  <si>
    <t>Requires Legal and Compliance policy decisions and an inventory of current deployments.</t>
  </si>
  <si>
    <t>Compliance / Legal + Director of Operations + Marcus</t>
  </si>
  <si>
    <t>Post-90 days</t>
  </si>
  <si>
    <t>Define a risk and accountability framework for portfolio deployments, with standard terms and review triggers.</t>
  </si>
  <si>
    <t>Every active deployment has documented accountability, permitted use, data responsibilities and an escalation owner; new deployments use the standard framework.</t>
  </si>
  <si>
    <t>Post-launch ownership, support expectations and critical product knowledge are not consistently maintained.</t>
  </si>
  <si>
    <t>DI has no minimum lifecycle standard covering accountable product ownership, support, transition, documentation and knowledge maintenance.</t>
  </si>
  <si>
    <t>Requires a current inventory of deployed products and protected technical-owner time.</t>
  </si>
  <si>
    <t>Director of Operations + technical product owners</t>
  </si>
  <si>
    <t>Create a product inventory, assign lifecycle owners and set proportional documentation and support standards.</t>
  </si>
  <si>
    <t>Every production tool has an owner, support model and current core documentation; orphaned or obsolete products are identified.</t>
  </si>
  <si>
    <t>Ownership and standards for shared infrastructure, DevOps and cross-pod data foundations are unclear.</t>
  </si>
  <si>
    <t>Pod-oriented delivery has left common cloud foundations, testing, shared data quality and platform conventions without explicit ownership.</t>
  </si>
  <si>
    <t>Requires a technical architecture and responsibility review with both pods.</t>
  </si>
  <si>
    <t>Priya + designated platform owner + Director of Operations</t>
  </si>
  <si>
    <t>Map shared services, assign technical owners and define minimum standards for interfaces, testing and data quality.</t>
  </si>
  <si>
    <t>Critical shared services have named owners, service expectations and change controls; duplicate or unmanaged foundations are identified.</t>
  </si>
  <si>
    <t>Recurring cross-boundary workflows lack explicit process owners, decision rights and escalation paths.</t>
  </si>
  <si>
    <t>DI relies on individual relationships and leadership intervention where workflows cross pods or corporate functions; accountability for execution is not distinguished clearly from specialist approval authority.</t>
  </si>
  <si>
    <t>Requires David and functional leaders to agree which decisions Operations may make, coordinate or escalate. Process-specific gaps remain in their own issue rows.</t>
  </si>
  <si>
    <t>Director of Operations + David + functional leaders</t>
  </si>
  <si>
    <t>Define a decision-rights architecture and assign one operational owner for the highest-frequency cross-boundary workflows; keep specialist judgment with the relevant function.</t>
  </si>
  <si>
    <t>Priority workflows have one execution owner, explicit approvers and an escalation path; routine coordination no longer defaults to David or pod leaders.</t>
  </si>
  <si>
    <t>Vendor and data-source onboarding lacks a fast, controlled end-to-end approval path.</t>
  </si>
  <si>
    <t>Supplier intake has no single process owner, risk tiers, complete submission standard or visible stages, while the standard path is slow enough to encourage workarounds.</t>
  </si>
  <si>
    <t>Scope is limited to supplier selection, diligence, contracting and pre-use approval; project and data-use review after acquisition sits under CORP-02.</t>
  </si>
  <si>
    <t>Director of Operations + Finance / Procurement + Legal / Compliance + Security</t>
  </si>
  <si>
    <t>Create one risk-tiered intake, pre-approved paths for routine tools, standard due-diligence requirements, visible stages and service targets.</t>
  </si>
  <si>
    <t>All new vendors and data sources enter one workflow; routine requests follow a fast path and no tool reaches use before required reviews are complete.</t>
  </si>
  <si>
    <t>Projects, deployments and new data uses reach Legal and Compliance late and follow an opaque, overly bespoke review path.</t>
  </si>
  <si>
    <t>Legal &amp; Compliance Workflow</t>
  </si>
  <si>
    <t>DI lacks lifecycle triggers, early roadmap visibility, standard submissions and risk-tiered review expectations for non-routine projects, deployments and data uses.</t>
  </si>
  <si>
    <t>Excludes supplier onboarding, which sits under CORP-01; requires confirmation of Legal versus Compliance authority and risk tiers.</t>
  </si>
  <si>
    <t>Director of Operations + Legal + Compliance</t>
  </si>
  <si>
    <t>61–90 days</t>
  </si>
  <si>
    <t>Embed simple risk triggers in project intake, provide standard submission templates and publish review stages and target turnaround by risk tier.</t>
  </si>
  <si>
    <t>Relevant work reaches reviewers during planning; DI can see status and expected timing, and routine reviews no longer require repeated translation.</t>
  </si>
  <si>
    <t>Ongoing security and data-access requests lack predictable routing, context and turnaround.</t>
  </si>
  <si>
    <t>After hire onboarding, DI has no named technical interface or standard request path for project access, cloud permissions and portfolio-company enablement.</t>
  </si>
  <si>
    <t>Excludes new-hire provisioning, which sits under ONB-01; requires IT / SecOps capacity and separation of Deerfield versus portfolio-company steps.</t>
  </si>
  <si>
    <t>Director of Operations + IT / SecOps</t>
  </si>
  <si>
    <t>Define request types, standard context, named escalation and service targets for common security and access needs.</t>
  </si>
  <si>
    <t>Common requests use a standard route with visible ownership and timing; baseline turnaround is measured and the largest delays have assigned fixes.</t>
  </si>
  <si>
    <t>DI lacks a complete vendor inventory, accountable owners and disciplined renewal management.</t>
  </si>
  <si>
    <t>Contracts, commercial terms, usage and renewal dates are fragmented, and no recurring process forces timely value and continuation decisions.</t>
  </si>
  <si>
    <t>Requires contract and payment data from Finance / Procurement and business-owner validation.</t>
  </si>
  <si>
    <t>Director of Operations + Finance / Procurement</t>
  </si>
  <si>
    <t>Complete a vendor and contract audit, centralize records, assign owners and institute 120/90/60-day renewal reviews.</t>
  </si>
  <si>
    <t>All active vendors have an owner, cost, usage status, contract location and renewal decision date; immediate duplicate and unused spend is addressed.</t>
  </si>
  <si>
    <t>DI lacks a regular, driver-based financial planning process connecting roadmap, hiring, vendors and technology use to spend.</t>
  </si>
  <si>
    <t>Finance receives fragmented, exception-driven information because DI has no single owner for a rolling forecast and no regular mechanism to translate operating plans into financial implications.</t>
  </si>
  <si>
    <t>Depends on the initial portfolio view, workforce plan and vendor inventory; Finance remains the owner of firm-wide financial policy.</t>
  </si>
  <si>
    <t>Director of Operations + James / Finance + pod leads</t>
  </si>
  <si>
    <t>Establish a monthly financial pulse and rolling six-month forecast linked to headcount, roadmap choices, cloud use and major vendor commitments.</t>
  </si>
  <si>
    <t>Finance receives 30–60 days' visibility on material changes; budget discussions use a common forecast rather than urgent invoices and retrospective explanations.</t>
  </si>
  <si>
    <t>Variable infrastructure consumption lacks weekly burn-rate visibility, anomaly alerts, thresholds and an accountable owner for investigation.</t>
  </si>
  <si>
    <t>Requires billing access, technical ownership and agreement on useful allocation and alert thresholds.</t>
  </si>
  <si>
    <t>Priya / platform owner + Director of Operations + Finance</t>
  </si>
  <si>
    <t>Implement weekly cloud-cost reporting, anomaly alerts, tagged ownership and an escalation process for material variance.</t>
  </si>
  <si>
    <t>Cloud spend is visible during the month; material spikes trigger named follow-up within one business day and quarterly surprise variance is eliminated.</t>
  </si>
  <si>
    <t>DI lacks full business-case visibility connecting material project spend to the outcomes created.</t>
  </si>
  <si>
    <t>Material costs are not consistently attributed to workstreams, and success measures are not defined at intake or captured after delivery, preventing cost-to-outcome analysis.</t>
  </si>
  <si>
    <t>Requires stable project identifiers, material-cost tagging and credible outcome measures that avoid false precision or overstated investment causality.</t>
  </si>
  <si>
    <t>Director of Operations + Finance + pod leads + business sponsors</t>
  </si>
  <si>
    <t>Add material cost ownership and expected outcome measures to intake, then review realized cost and outcomes at defined post-launch points.</t>
  </si>
  <si>
    <t>Material initiatives have an attributable cost, an accountable outcome owner and a defensible measure of value for prioritization and partner reporting.</t>
  </si>
  <si>
    <t>DI lacks a clear, sequenced workforce plan for growth from 10 to 30.</t>
  </si>
  <si>
    <t>The target capability mix, role sequence and hiring triggers are not linked to portfolio demand, capacity and organization design; recruiting execution is addressed separately under HIR-01.</t>
  </si>
  <si>
    <t>Depends on strategy, portfolio priorities, capacity baseline and target organization choices.</t>
  </si>
  <si>
    <t>David + Director of Operations + Elena / HR + pod leads</t>
  </si>
  <si>
    <t>Create an 18-month role and capability plan with hiring sequence, triggers, cost and dependencies.</t>
  </si>
  <si>
    <t>Each planned role has a business rationale, timing trigger, reporting line and budget; recruiting begins from an agreed sequence rather than immediate pressure.</t>
  </si>
  <si>
    <t>DI has not resolved how leadership structure and management capacity should evolve as the team grows.</t>
  </si>
  <si>
    <t>Most decisions still depend on David, but leadership disagrees on whether scale requires a formal middle layer or can be managed through stronger pod leadership and operating mechanisms.</t>
  </si>
  <si>
    <t>Low</t>
  </si>
  <si>
    <t>Requires target-organization design and explicit consideration of David's preference to preserve a flat structure.</t>
  </si>
  <si>
    <t>David + Director of Operations + Elena / HR</t>
  </si>
  <si>
    <t>Design and test target spans, pod-lead accountabilities and decision delegation before adding management layers.</t>
  </si>
  <si>
    <t>DI has an agreed target organization for 15, 20 and 30 people, with trigger points for new leadership roles and clear delegated decisions.</t>
  </si>
  <si>
    <t>DI has no technical competency framework or transparent progression model mapped to its roles and expectations.</t>
  </si>
  <si>
    <t>Should follow the target organization and job-architecture work; current employees have not identified it as an immediate pain point.</t>
  </si>
  <si>
    <t>Elena / HR + pod leads + Director of Operations</t>
  </si>
  <si>
    <t>Define a lightweight technical career framework once the target organization and role architecture are settled.</t>
  </si>
  <si>
    <t>Within 90 days, scope, owners and design principles are agreed; full career architecture is sequenced after higher-priority scaling foundations.</t>
  </si>
  <si>
    <t>Deerfield's traditional job architecture was not designed for external technology-market roles, titles and compensation benchmarks.</t>
  </si>
  <si>
    <t>Requires current-role mapping, external benchmarks and coordination with the Compensation Committee.</t>
  </si>
  <si>
    <t>Elena / HR + Director of Operations + pod leads</t>
  </si>
  <si>
    <t>Map DI roles to a technology-specific job architecture while preserving Deerfield's firm-wide governance.</t>
  </si>
  <si>
    <t>Priority roles have agreed level definitions and market-reference ranges; hiring and compensation decisions use consistent mappings.</t>
  </si>
  <si>
    <t>The recruiting process is too slow and dependent on ad hoc coordination to support planned hiring volume.</t>
  </si>
  <si>
    <t>Once a role is approved, interview capacity is not reserved, stages run sequentially, feedback is delayed and final decisions depend heavily on David; role sequencing sits under WFP-01.</t>
  </si>
  <si>
    <t>Requires the workforce plan, clear assessment criteria and delegated decision rights by role level.</t>
  </si>
  <si>
    <t>Director of Operations + Elena / HR + hiring leads</t>
  </si>
  <si>
    <t>Standardize requisition readiness, interview plans, reserved panels, parallel scheduling, feedback SLAs and decision authority.</t>
  </si>
  <si>
    <t>Every active search has a committed timeline and owner; scheduling and feedback occur within defined targets and time-to-hire begins to decline.</t>
  </si>
  <si>
    <t>Firm-wide office expectations may constrain access to specialized AI talent.</t>
  </si>
  <si>
    <t>DI has not defined when role scarcity and market practice justify location flexibility within Deerfield's workplace policy.</t>
  </si>
  <si>
    <t>Requires evidence of candidate losses and a clear role-by-role talent-market case.</t>
  </si>
  <si>
    <t>David + Elena / HR + Director of Operations</t>
  </si>
  <si>
    <t>Track location-related candidate losses and define an exception framework only if evidence supports it.</t>
  </si>
  <si>
    <t>DI has data on location constraints and an agreed decision rule; no policy exception is proposed without demonstrated recruiting impact.</t>
  </si>
  <si>
    <t>New-hire technical onboarding lacks an end-to-end owner, day-one access and a standard setup path.</t>
  </si>
  <si>
    <t>Employee provisioning is fragmented across HR, IT and DI, and role-specific systems and engineering setup rely on manual knowledge and follow-up.</t>
  </si>
  <si>
    <t>Limited to pre-start and initial employee provisioning; ongoing project access sits under CORP-03.</t>
  </si>
  <si>
    <t>Director of Operations + IT / SecOps + hiring manager</t>
  </si>
  <si>
    <t>Create role-based access checklists, pre-start provisioning, a named onboarding owner and escalation targets.</t>
  </si>
  <si>
    <t>New engineers receive required baseline access by day one and can complete a defined productive engineering task within the first week.</t>
  </si>
  <si>
    <t>Onboarding ends after basic HR orientation and does not define role outcomes, stakeholder context or Deerfield relationships.</t>
  </si>
  <si>
    <t>Should build on the technical-access checklist and requires hiring-manager ownership.</t>
  </si>
  <si>
    <t>Director of Operations + hiring managers + Elena / HR</t>
  </si>
  <si>
    <t>Create role-based 30-day plans, stakeholder maps, buddies and manager check-ins.</t>
  </si>
  <si>
    <t>Every new hire has documented first-month outcomes and key relationships; 30-day ramp feedback is collected and reviewed.</t>
  </si>
  <si>
    <t>The firm-wide process has not been adapted into a lightweight approach that captures expectations, feedback and differentiated outcomes for a technical team.</t>
  </si>
  <si>
    <t>Requires clarified role expectations and HR agreement on minimum documentation.</t>
  </si>
  <si>
    <t>David + pod leads + Elena / HR</t>
  </si>
  <si>
    <t>Define quarterly expectation and feedback check-ins with minimum documentation tied to the annual process.</t>
  </si>
  <si>
    <t>All employees have current expectations and documented feedback; year-end decisions no longer rely only on memory and visibility.</t>
  </si>
  <si>
    <t>Annual compensation cycles do not provide a clear response path for time-sensitive retention risks.</t>
  </si>
  <si>
    <t>DI lacks predefined evidence, authority and decision timing for out-of-cycle adjustments in a fast-moving technical talent market.</t>
  </si>
  <si>
    <t>Requires Compensation Committee policy and evidence on the frequency and impact of retention exceptions.</t>
  </si>
  <si>
    <t>Elena / HR + David + Compensation Committee</t>
  </si>
  <si>
    <t>Define a documented escalation and evidence standard for exceptional retention cases.</t>
  </si>
  <si>
    <t>DI and HR know when and how an out-of-cycle case can be raised, with explicit decision authority and turnaround expectations.</t>
  </si>
  <si>
    <t>DI lacks a formal inventory and governance lifecycle for AI models used in investment activity.</t>
  </si>
  <si>
    <t>Model purpose, training data, limitations, validation, ownership and monitoring are not embedded in the technical definition of done.</t>
  </si>
  <si>
    <t>Requires Compliance standards, technical-owner input and scoping to investment-relevant production models first.</t>
  </si>
  <si>
    <t>Compliance + Priya / model owners + Director of Operations</t>
  </si>
  <si>
    <t>Create a model inventory, minimum model record, accountable owners and risk-based validation and monitoring cadence.</t>
  </si>
  <si>
    <t>All production investment-related models are inventoried with owner, purpose, data, limitations and review status; highest-risk gaps have remediation plans.</t>
  </si>
  <si>
    <t>Access controls and information barriers are not documented or evidenced at the required level.</t>
  </si>
  <si>
    <t>Policies are not consistently translated into system entitlements, periodic reviews and auditable records for sensitive research and data.</t>
  </si>
  <si>
    <t>Requires authoritative system and data inventories and ownership from IT / SecOps and Compliance.</t>
  </si>
  <si>
    <t>IT / SecOps + Compliance + Director of Operations</t>
  </si>
  <si>
    <t>Create an access-control matrix for priority systems and data, assign review owners and establish evidence retention.</t>
  </si>
  <si>
    <t>DI can identify current access to high-risk systems and data and demonstrate review of those permissions; urgent exceptions are remediated.</t>
  </si>
  <si>
    <t>DI lacks an explicit governance framework for sensitive data and outbound third-party data use.</t>
  </si>
  <si>
    <t>Data flows, permitted uses, external disclosures and privacy protections are not consistently documented as experiments move toward production.</t>
  </si>
  <si>
    <t>Requires data inventory, Compliance / Legal standards and alignment with vendor intake and model governance.</t>
  </si>
  <si>
    <t>Compliance / Legal + Priya + Director of Operations</t>
  </si>
  <si>
    <t>Define data-risk tiers, sandbox-to-production triggers and minimum data-flow, rights and privacy documentation.</t>
  </si>
  <si>
    <t>Priority sensitive datasets have documented flows and permitted uses; new production uses cannot proceed without the required privacy and rights record.</t>
  </si>
  <si>
    <t>DI is insufficiently integrated with the broader investment organization, weakening shared context and support for resources.</t>
  </si>
  <si>
    <t>DI lacks deliberate stakeholder engagement and value communication beyond individual projects and requests.</t>
  </si>
  <si>
    <t>Requires direct validation with Investment Partners and evidence that the perceived silo affects decisions or adoption.</t>
  </si>
  <si>
    <t>David + Director of Operations</t>
  </si>
  <si>
    <t>Validate stakeholder needs and add targeted portfolio and value communication rather than a broad meeting layer.</t>
  </si>
  <si>
    <t>Within 90 days, partner interviews confirm whether this is a material issue and identify the smallest useful engagement mechanism.</t>
  </si>
  <si>
    <t>Prioritized Sequencing View</t>
  </si>
  <si>
    <t>Business Impact
(1-5)</t>
  </si>
  <si>
    <t>Urgency 
(1-5)</t>
  </si>
  <si>
    <t>Scale Dependency
(1-5)</t>
  </si>
  <si>
    <t>Effort 
(1-5)</t>
  </si>
  <si>
    <t>1. Listen</t>
  </si>
  <si>
    <t>2. Diagnose &amp; 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</si>
</sst>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6"/>
      <color rgb="FFFFFFFF"/>
      <name val="Aptos Narrow"/>
    </font>
    <font>
      <sz val="11"/>
      <name val="Aptos Narrow"/>
    </font>
    <font>
      <b/>
      <sz val="11"/>
      <color rgb="FF17324D"/>
      <name val="Aptos Narrow"/>
    </font>
    <font>
      <b/>
      <sz val="11"/>
      <color rgb="FFFFFFFF"/>
      <name val="Aptos Narrow"/>
    </font>
    <font>
      <i/>
      <sz val="11"/>
      <color rgb="FF595959"/>
      <name val="Aptos Narrow"/>
    </font>
    <font>
      <sz val="11"/>
      <name val="Aptos Narrow"/>
    </font>
    <font>
      <b/>
      <sz val="15"/>
      <color rgb="FFFFFFFF"/>
      <name val="Aptos Narrow"/>
    </font>
    <font>
      <sz val="11"/>
      <color rgb="FFFF0000"/>
      <name val="Aptos Narrow"/>
    </font>
    <font>
      <b/>
      <sz val="14"/>
      <color rgb="FFFFFFFF"/>
      <name val="Aptos Narrow"/>
    </font>
    <font>
      <sz val="11"/>
      <color rgb="FF1F2937"/>
      <name val="Aptos Narrow"/>
    </font>
    <font>
      <sz val="11"/>
      <color rgb="FF1F2937"/>
      <name val="Carlito"/>
    </font>
    <font>
      <b/>
      <sz val="11"/>
      <color rgb="FFFFFFFF"/>
      <name val="Aptos Narrow"/>
      <family val="2"/>
    </font>
    <font>
      <sz val="11"/>
      <color rgb="FF1F2937"/>
      <name val="Aptos Narrow"/>
      <family val="2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EEF5FB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4" fillId="2" borderId="0" xfId="0" applyFont="1" applyFill="1"/>
    <xf numFmtId="0" fontId="2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5" fillId="5" borderId="0" xfId="0" applyFont="1" applyFill="1"/>
    <xf numFmtId="0" fontId="4" fillId="2" borderId="0" xfId="0" applyFont="1" applyFill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2" borderId="0" xfId="0" applyFont="1" applyFill="1" applyAlignment="1">
      <alignment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9" fillId="2" borderId="0" xfId="0" applyFont="1" applyFill="1"/>
    <xf numFmtId="0" fontId="1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43">
    <dxf>
      <fill>
        <patternFill>
          <bgColor rgb="FFFFF2CC"/>
        </patternFill>
      </fill>
    </dxf>
    <dxf>
      <font>
        <b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EvidenceLogTable" displayName="EvidenceLogTable" ref="B2:N99" totalsRowShown="0" headerRowDxfId="18" dataDxfId="17">
  <autoFilter ref="B2:N99" xr:uid="{00000000-000C-0000-FFFF-FFFF00000000}"/>
  <tableColumns count="13">
    <tableColumn id="1" xr3:uid="{00000000-0010-0000-0000-000001000000}" name="Obs ID" dataDxfId="16"/>
    <tableColumn id="2" xr3:uid="{00000000-0010-0000-0000-000002000000}" name="Interview / Source" dataDxfId="15"/>
    <tableColumn id="3" xr3:uid="{00000000-0010-0000-0000-000003000000}" name="Role / Group" dataDxfId="14"/>
    <tableColumn id="4" xr3:uid="{00000000-0010-0000-0000-000004000000}" name="Date" dataDxfId="13"/>
    <tableColumn id="5" xr3:uid="{00000000-0010-0000-0000-000005000000}" name="Issue ID" dataDxfId="12"/>
    <tableColumn id="6" xr3:uid="{00000000-0010-0000-0000-000006000000}" name="Category" dataDxfId="11"/>
    <tableColumn id="7" xr3:uid="{00000000-0010-0000-0000-000007000000}" name="Observation" dataDxfId="10"/>
    <tableColumn id="8" xr3:uid="{00000000-0010-0000-0000-000008000000}" name="Example / Evidence" dataDxfId="9"/>
    <tableColumn id="9" xr3:uid="{00000000-0010-0000-0000-000009000000}" name="Evidence Type" dataDxfId="8"/>
    <tableColumn id="10" xr3:uid="{00000000-0010-0000-0000-00000A000000}" name="Initial Hypothesis" dataDxfId="7"/>
    <tableColumn id="11" xr3:uid="{00000000-0010-0000-0000-00000B000000}" name="Severity (1-5)" dataDxfId="6"/>
    <tableColumn id="12" xr3:uid="{00000000-0010-0000-0000-00000C000000}" name="Confidence" dataDxfId="5"/>
    <tableColumn id="13" xr3:uid="{00000000-0010-0000-0000-00000D000000}" name="Not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IssueRegisterTable" displayName="IssueRegisterTable" ref="B3:W34" totalsRowShown="0" headerRowDxfId="42" dataDxfId="41">
  <autoFilter ref="B3:W34" xr:uid="{00000000-000C-0000-FFFF-FFFF01000000}"/>
  <sortState xmlns:xlrd2="http://schemas.microsoft.com/office/spreadsheetml/2017/richdata2" ref="B4:W34">
    <sortCondition ref="B3:B34"/>
  </sortState>
  <tableColumns count="22">
    <tableColumn id="1" xr3:uid="{00000000-0010-0000-0100-000001000000}" name="Issue ID" dataDxfId="40"/>
    <tableColumn id="2" xr3:uid="{00000000-0010-0000-0100-000002000000}" name="Issue / Gap Statement" dataDxfId="39"/>
    <tableColumn id="3" xr3:uid="{00000000-0010-0000-0100-000003000000}" name="Category" dataDxfId="38"/>
    <tableColumn id="4" xr3:uid="{00000000-0010-0000-0100-000004000000}" name="Root Cause Hypothesis" dataDxfId="37"/>
    <tableColumn id="5" xr3:uid="{00000000-0010-0000-0100-000005000000}" name="Evidence Count" dataDxfId="36"/>
    <tableColumn id="6" xr3:uid="{00000000-0010-0000-0100-000006000000}" name="Unique Sources*" dataDxfId="35"/>
    <tableColumn id="7" xr3:uid="{00000000-0010-0000-0100-000007000000}" name="Strong Evidence Count" dataDxfId="34"/>
    <tableColumn id="8" xr3:uid="{00000000-0010-0000-0100-000008000000}" name="Signal Strength" dataDxfId="33">
      <calculatedColumnFormula>IF(B4="","",IF(AND(G4&gt;=3,H4&gt;=2),"Strong signal",IF(OR(G4&gt;=2,H4&gt;=1),"Emerging signal","Weak or unconfirmed")))</calculatedColumnFormula>
    </tableColumn>
    <tableColumn id="9" xr3:uid="{00000000-0010-0000-0100-000009000000}" name="Triangulation Confidence" dataDxfId="32"/>
    <tableColumn id="10" xr3:uid="{00000000-0010-0000-0100-00000A000000}" name="Business Impact_x000a_(1-5)" dataDxfId="31"/>
    <tableColumn id="11" xr3:uid="{00000000-0010-0000-0100-00000B000000}" name="Urgency _x000a_(1-5)" dataDxfId="30"/>
    <tableColumn id="12" xr3:uid="{00000000-0010-0000-0100-00000C000000}" name="Scale Dependency_x000a_(1-5)" dataDxfId="29"/>
    <tableColumn id="13" xr3:uid="{00000000-0010-0000-0100-00000D000000}" name="Effort _x000a_(1-5)" dataDxfId="28"/>
    <tableColumn id="14" xr3:uid="{00000000-0010-0000-0100-00000E000000}" name="Priority Score" dataDxfId="27"/>
    <tableColumn id="15" xr3:uid="{00000000-0010-0000-0100-00000F000000}" name="Priority Band" dataDxfId="26"/>
    <tableColumn id="16" xr3:uid="{00000000-0010-0000-0100-000010000000}" name="Dependency / Prerequisite" dataDxfId="25"/>
    <tableColumn id="17" xr3:uid="{00000000-0010-0000-0100-000011000000}" name="Owner / Partner" dataDxfId="24"/>
    <tableColumn id="18" xr3:uid="{00000000-0010-0000-0100-000012000000}" name="Readiness" dataDxfId="23"/>
    <tableColumn id="19" xr3:uid="{00000000-0010-0000-0100-000013000000}" name="Suggested Sequence" dataDxfId="22"/>
    <tableColumn id="20" xr3:uid="{00000000-0010-0000-0100-000014000000}" name="Final Sequence" dataDxfId="21"/>
    <tableColumn id="21" xr3:uid="{00000000-0010-0000-0100-000015000000}" name="Proposed Intervention" dataDxfId="20"/>
    <tableColumn id="22" xr3:uid="{00000000-0010-0000-0100-000016000000}" name="Target Outcome / Measure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SequenceViewTable" displayName="SequenceViewTable" ref="B4:K35" totalsRowShown="0">
  <autoFilter ref="B4:K35" xr:uid="{00000000-000C-0000-FFFF-FFFF02000000}"/>
  <sortState xmlns:xlrd2="http://schemas.microsoft.com/office/spreadsheetml/2017/richdata2" ref="B5:K35">
    <sortCondition ref="G4:G35"/>
  </sortState>
  <tableColumns count="10">
    <tableColumn id="1" xr3:uid="{00000000-0010-0000-0200-000001000000}" name="Issue ID"/>
    <tableColumn id="2" xr3:uid="{00000000-0010-0000-0200-000002000000}" name="Issue / Gap"/>
    <tableColumn id="3" xr3:uid="{00000000-0010-0000-0200-000003000000}" name="Signal"/>
    <tableColumn id="4" xr3:uid="{00000000-0010-0000-0200-000004000000}" name="Priority"/>
    <tableColumn id="5" xr3:uid="{00000000-0010-0000-0200-000005000000}" name="Score"/>
    <tableColumn id="6" xr3:uid="{00000000-0010-0000-0200-000006000000}" name="Final / Suggested Sequence"/>
    <tableColumn id="7" xr3:uid="{00000000-0010-0000-0200-000007000000}" name="Dependency"/>
    <tableColumn id="8" xr3:uid="{00000000-0010-0000-0200-000008000000}" name="Owner / Partner"/>
    <tableColumn id="9" xr3:uid="{00000000-0010-0000-0200-000009000000}" name="Intervention"/>
    <tableColumn id="10" xr3:uid="{00000000-0010-0000-0200-00000A000000}" name="Outcome / Meas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showGridLines="0" topLeftCell="A10" workbookViewId="0">
      <selection activeCell="D23" sqref="D23"/>
    </sheetView>
  </sheetViews>
  <sheetFormatPr defaultRowHeight="14.5"/>
  <cols>
    <col min="1" max="1" width="2.5" style="2" customWidth="1"/>
    <col min="2" max="2" width="22" style="2" customWidth="1"/>
    <col min="3" max="3" width="28" style="2" customWidth="1"/>
    <col min="4" max="5" width="29" style="2" bestFit="1" customWidth="1"/>
    <col min="6" max="16384" width="8.6640625" style="2"/>
  </cols>
  <sheetData>
    <row r="2" spans="2:5" ht="20" customHeight="1">
      <c r="B2" s="1" t="s">
        <v>0</v>
      </c>
      <c r="C2" s="1"/>
      <c r="D2" s="1"/>
      <c r="E2" s="1"/>
    </row>
    <row r="4" spans="2:5" ht="14.5" customHeight="1">
      <c r="B4" s="12" t="s">
        <v>1</v>
      </c>
      <c r="C4" s="11"/>
      <c r="D4" s="11"/>
      <c r="E4" s="11"/>
    </row>
    <row r="6" spans="2:5">
      <c r="B6" s="3" t="s">
        <v>2</v>
      </c>
      <c r="C6" s="3" t="s">
        <v>3</v>
      </c>
      <c r="D6" s="3" t="s">
        <v>4</v>
      </c>
      <c r="E6" s="3" t="s">
        <v>5</v>
      </c>
    </row>
    <row r="7" spans="2:5" ht="44" customHeight="1">
      <c r="B7" s="39" t="s">
        <v>760</v>
      </c>
      <c r="C7" s="6" t="s">
        <v>6</v>
      </c>
      <c r="D7" s="6" t="s">
        <v>7</v>
      </c>
      <c r="E7" s="6" t="s">
        <v>8</v>
      </c>
    </row>
    <row r="8" spans="2:5" ht="44" customHeight="1">
      <c r="B8" s="39" t="s">
        <v>761</v>
      </c>
      <c r="C8" s="35" t="s">
        <v>9</v>
      </c>
      <c r="D8" s="6" t="s">
        <v>10</v>
      </c>
      <c r="E8" s="6" t="s">
        <v>11</v>
      </c>
    </row>
    <row r="9" spans="2:5" ht="44" customHeight="1">
      <c r="B9" s="6" t="s">
        <v>12</v>
      </c>
      <c r="C9" s="36"/>
      <c r="D9" s="6" t="s">
        <v>13</v>
      </c>
      <c r="E9" s="6" t="s">
        <v>14</v>
      </c>
    </row>
    <row r="10" spans="2:5" ht="44" customHeight="1">
      <c r="B10" s="6" t="s">
        <v>15</v>
      </c>
      <c r="C10" s="37"/>
      <c r="D10" s="6" t="s">
        <v>16</v>
      </c>
      <c r="E10" s="6" t="s">
        <v>17</v>
      </c>
    </row>
    <row r="11" spans="2:5" ht="44" customHeight="1">
      <c r="B11" s="6" t="s">
        <v>18</v>
      </c>
      <c r="C11" s="6" t="s">
        <v>19</v>
      </c>
      <c r="D11" s="6" t="s">
        <v>20</v>
      </c>
      <c r="E11" s="6" t="s">
        <v>21</v>
      </c>
    </row>
    <row r="13" spans="2:5">
      <c r="B13" s="13" t="s">
        <v>22</v>
      </c>
      <c r="C13" s="13"/>
      <c r="D13" s="13"/>
      <c r="E13" s="13"/>
    </row>
    <row r="14" spans="2:5">
      <c r="B14" s="10"/>
      <c r="C14" s="10"/>
      <c r="D14" s="10"/>
      <c r="E14" s="10"/>
    </row>
    <row r="15" spans="2:5">
      <c r="B15" s="5" t="s">
        <v>23</v>
      </c>
      <c r="C15" s="15" t="s">
        <v>24</v>
      </c>
      <c r="D15" s="15" t="s">
        <v>25</v>
      </c>
      <c r="E15" s="15" t="s">
        <v>26</v>
      </c>
    </row>
    <row r="16" spans="2:5" s="17" customFormat="1" ht="30" customHeight="1">
      <c r="B16" s="9" t="s">
        <v>27</v>
      </c>
      <c r="C16" s="16" t="s">
        <v>28</v>
      </c>
      <c r="D16" s="16" t="s">
        <v>29</v>
      </c>
      <c r="E16" s="16" t="s">
        <v>30</v>
      </c>
    </row>
    <row r="17" spans="2:5" s="17" customFormat="1" ht="30" customHeight="1">
      <c r="B17" s="9" t="s">
        <v>31</v>
      </c>
      <c r="C17" s="16" t="s">
        <v>32</v>
      </c>
      <c r="D17" s="16" t="s">
        <v>33</v>
      </c>
      <c r="E17" s="16" t="s">
        <v>34</v>
      </c>
    </row>
    <row r="18" spans="2:5" s="17" customFormat="1" ht="30" customHeight="1">
      <c r="B18" s="9" t="s">
        <v>35</v>
      </c>
      <c r="C18" s="16" t="s">
        <v>36</v>
      </c>
      <c r="D18" s="16" t="s">
        <v>37</v>
      </c>
      <c r="E18" s="16" t="s">
        <v>38</v>
      </c>
    </row>
    <row r="19" spans="2:5" s="17" customFormat="1" ht="30" customHeight="1">
      <c r="B19" s="9" t="s">
        <v>39</v>
      </c>
      <c r="C19" s="16" t="s">
        <v>40</v>
      </c>
      <c r="D19" s="16" t="s">
        <v>41</v>
      </c>
      <c r="E19" s="16" t="s">
        <v>42</v>
      </c>
    </row>
    <row r="21" spans="2:5">
      <c r="B21" s="14" t="s">
        <v>43</v>
      </c>
      <c r="C21" s="14"/>
      <c r="D21" s="14"/>
      <c r="E21" s="14"/>
    </row>
    <row r="22" spans="2:5">
      <c r="B22" s="14" t="s">
        <v>44</v>
      </c>
      <c r="C22" s="14"/>
      <c r="D22" s="14"/>
      <c r="E22" s="14"/>
    </row>
  </sheetData>
  <mergeCells count="1">
    <mergeCell ref="C8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02"/>
  <sheetViews>
    <sheetView showGridLines="0" topLeftCell="H4" zoomScale="87" workbookViewId="0">
      <selection activeCell="L2" sqref="L2"/>
    </sheetView>
  </sheetViews>
  <sheetFormatPr defaultRowHeight="14.5"/>
  <cols>
    <col min="1" max="1" width="2.5" style="2" customWidth="1"/>
    <col min="2" max="2" width="12" style="2" customWidth="1"/>
    <col min="3" max="3" width="22" style="2" customWidth="1"/>
    <col min="4" max="4" width="20" style="2" customWidth="1"/>
    <col min="5" max="5" width="13" style="2" customWidth="1"/>
    <col min="6" max="6" width="12" style="2" customWidth="1"/>
    <col min="7" max="7" width="22" style="2" customWidth="1"/>
    <col min="8" max="8" width="42" style="2" customWidth="1"/>
    <col min="9" max="9" width="45" style="2" customWidth="1"/>
    <col min="10" max="10" width="20" style="2" customWidth="1"/>
    <col min="11" max="11" width="40" style="2" customWidth="1"/>
    <col min="12" max="13" width="14" style="2" customWidth="1"/>
    <col min="14" max="14" width="30" style="2" customWidth="1"/>
    <col min="15" max="16384" width="8.6640625" style="2"/>
  </cols>
  <sheetData>
    <row r="2" spans="2:14" ht="22.65" customHeight="1">
      <c r="B2" s="33" t="s">
        <v>45</v>
      </c>
      <c r="C2" s="33" t="s">
        <v>46</v>
      </c>
      <c r="D2" s="33" t="s">
        <v>47</v>
      </c>
      <c r="E2" s="33" t="s">
        <v>48</v>
      </c>
      <c r="F2" s="33" t="s">
        <v>49</v>
      </c>
      <c r="G2" s="33" t="s">
        <v>50</v>
      </c>
      <c r="H2" s="33" t="s">
        <v>51</v>
      </c>
      <c r="I2" s="33" t="s">
        <v>52</v>
      </c>
      <c r="J2" s="33" t="s">
        <v>53</v>
      </c>
      <c r="K2" s="33" t="s">
        <v>54</v>
      </c>
      <c r="L2" s="33" t="s">
        <v>55</v>
      </c>
      <c r="M2" s="33" t="s">
        <v>56</v>
      </c>
      <c r="N2" s="33" t="s">
        <v>57</v>
      </c>
    </row>
    <row r="3" spans="2:14" s="23" customFormat="1" ht="43.5">
      <c r="B3" s="30" t="s">
        <v>109</v>
      </c>
      <c r="C3" s="30" t="s">
        <v>110</v>
      </c>
      <c r="D3" s="30" t="s">
        <v>111</v>
      </c>
      <c r="E3" s="30" t="s">
        <v>112</v>
      </c>
      <c r="F3" s="30" t="s">
        <v>113</v>
      </c>
      <c r="G3" s="30" t="s">
        <v>114</v>
      </c>
      <c r="H3" s="31" t="s">
        <v>115</v>
      </c>
      <c r="I3" s="31" t="s">
        <v>116</v>
      </c>
      <c r="J3" s="31" t="s">
        <v>117</v>
      </c>
      <c r="K3" s="31" t="s">
        <v>118</v>
      </c>
      <c r="L3" s="32">
        <v>4</v>
      </c>
      <c r="M3" s="32" t="s">
        <v>119</v>
      </c>
      <c r="N3" s="31" t="s">
        <v>120</v>
      </c>
    </row>
    <row r="4" spans="2:14" s="23" customFormat="1" ht="43.5">
      <c r="B4" s="30" t="str">
        <f t="shared" ref="B4:B67" si="0">IF(C4="","","OBS-"&amp;TEXT(ROW()-2,"000"))</f>
        <v>OBS-002</v>
      </c>
      <c r="C4" s="30" t="s">
        <v>110</v>
      </c>
      <c r="D4" s="30" t="s">
        <v>111</v>
      </c>
      <c r="E4" s="30" t="s">
        <v>112</v>
      </c>
      <c r="F4" s="30" t="s">
        <v>121</v>
      </c>
      <c r="G4" s="30" t="s">
        <v>122</v>
      </c>
      <c r="H4" s="31" t="s">
        <v>123</v>
      </c>
      <c r="I4" s="31" t="s">
        <v>124</v>
      </c>
      <c r="J4" s="31" t="s">
        <v>125</v>
      </c>
      <c r="K4" s="31" t="s">
        <v>126</v>
      </c>
      <c r="L4" s="32">
        <v>5</v>
      </c>
      <c r="M4" s="32" t="s">
        <v>119</v>
      </c>
      <c r="N4" s="31" t="s">
        <v>127</v>
      </c>
    </row>
    <row r="5" spans="2:14" s="17" customFormat="1" ht="43.5">
      <c r="B5" s="30" t="str">
        <f t="shared" si="0"/>
        <v>OBS-003</v>
      </c>
      <c r="C5" s="30" t="s">
        <v>110</v>
      </c>
      <c r="D5" s="30" t="s">
        <v>111</v>
      </c>
      <c r="E5" s="30" t="s">
        <v>112</v>
      </c>
      <c r="F5" s="30" t="s">
        <v>128</v>
      </c>
      <c r="G5" s="30" t="s">
        <v>129</v>
      </c>
      <c r="H5" s="31" t="s">
        <v>130</v>
      </c>
      <c r="I5" s="31" t="s">
        <v>131</v>
      </c>
      <c r="J5" s="31" t="s">
        <v>132</v>
      </c>
      <c r="K5" s="31" t="s">
        <v>133</v>
      </c>
      <c r="L5" s="32">
        <v>5</v>
      </c>
      <c r="M5" s="32" t="s">
        <v>119</v>
      </c>
      <c r="N5" s="31" t="s">
        <v>134</v>
      </c>
    </row>
    <row r="6" spans="2:14" s="17" customFormat="1" ht="43.5">
      <c r="B6" s="30" t="str">
        <f t="shared" si="0"/>
        <v>OBS-004</v>
      </c>
      <c r="C6" s="30" t="s">
        <v>110</v>
      </c>
      <c r="D6" s="30" t="s">
        <v>111</v>
      </c>
      <c r="E6" s="30" t="s">
        <v>112</v>
      </c>
      <c r="F6" s="30" t="s">
        <v>128</v>
      </c>
      <c r="G6" s="30" t="s">
        <v>129</v>
      </c>
      <c r="H6" s="31" t="s">
        <v>135</v>
      </c>
      <c r="I6" s="31" t="s">
        <v>136</v>
      </c>
      <c r="J6" s="31" t="s">
        <v>117</v>
      </c>
      <c r="K6" s="31" t="s">
        <v>137</v>
      </c>
      <c r="L6" s="32">
        <v>4</v>
      </c>
      <c r="M6" s="32" t="s">
        <v>119</v>
      </c>
      <c r="N6" s="31" t="s">
        <v>138</v>
      </c>
    </row>
    <row r="7" spans="2:14" s="17" customFormat="1" ht="43.5">
      <c r="B7" s="30" t="str">
        <f t="shared" si="0"/>
        <v>OBS-005</v>
      </c>
      <c r="C7" s="30" t="s">
        <v>110</v>
      </c>
      <c r="D7" s="30" t="s">
        <v>111</v>
      </c>
      <c r="E7" s="30" t="s">
        <v>112</v>
      </c>
      <c r="F7" s="30" t="s">
        <v>128</v>
      </c>
      <c r="G7" s="30" t="s">
        <v>129</v>
      </c>
      <c r="H7" s="31" t="s">
        <v>139</v>
      </c>
      <c r="I7" s="31" t="s">
        <v>140</v>
      </c>
      <c r="J7" s="31" t="s">
        <v>125</v>
      </c>
      <c r="K7" s="31" t="s">
        <v>141</v>
      </c>
      <c r="L7" s="32">
        <v>5</v>
      </c>
      <c r="M7" s="32" t="s">
        <v>142</v>
      </c>
      <c r="N7" s="31" t="s">
        <v>143</v>
      </c>
    </row>
    <row r="8" spans="2:14" s="17" customFormat="1" ht="43.5">
      <c r="B8" s="30" t="str">
        <f t="shared" si="0"/>
        <v>OBS-006</v>
      </c>
      <c r="C8" s="30" t="s">
        <v>110</v>
      </c>
      <c r="D8" s="30" t="s">
        <v>111</v>
      </c>
      <c r="E8" s="30" t="s">
        <v>112</v>
      </c>
      <c r="F8" s="30"/>
      <c r="G8" s="30" t="s">
        <v>144</v>
      </c>
      <c r="H8" s="31" t="s">
        <v>145</v>
      </c>
      <c r="I8" s="31" t="s">
        <v>146</v>
      </c>
      <c r="J8" s="31" t="s">
        <v>147</v>
      </c>
      <c r="K8" s="31" t="s">
        <v>148</v>
      </c>
      <c r="L8" s="32">
        <v>3</v>
      </c>
      <c r="M8" s="32" t="s">
        <v>142</v>
      </c>
      <c r="N8" s="31" t="s">
        <v>149</v>
      </c>
    </row>
    <row r="9" spans="2:14" s="17" customFormat="1" ht="43.5">
      <c r="B9" s="30" t="str">
        <f t="shared" si="0"/>
        <v>OBS-007</v>
      </c>
      <c r="C9" s="30" t="s">
        <v>110</v>
      </c>
      <c r="D9" s="30" t="s">
        <v>111</v>
      </c>
      <c r="E9" s="30" t="s">
        <v>112</v>
      </c>
      <c r="F9" s="30" t="s">
        <v>150</v>
      </c>
      <c r="G9" s="30" t="s">
        <v>151</v>
      </c>
      <c r="H9" s="31" t="s">
        <v>152</v>
      </c>
      <c r="I9" s="31" t="s">
        <v>153</v>
      </c>
      <c r="J9" s="31" t="s">
        <v>132</v>
      </c>
      <c r="K9" s="31" t="s">
        <v>154</v>
      </c>
      <c r="L9" s="32">
        <v>5</v>
      </c>
      <c r="M9" s="32" t="s">
        <v>119</v>
      </c>
      <c r="N9" s="31" t="s">
        <v>155</v>
      </c>
    </row>
    <row r="10" spans="2:14" s="17" customFormat="1" ht="58">
      <c r="B10" s="30" t="str">
        <f t="shared" si="0"/>
        <v>OBS-008</v>
      </c>
      <c r="C10" s="30" t="s">
        <v>110</v>
      </c>
      <c r="D10" s="30" t="s">
        <v>111</v>
      </c>
      <c r="E10" s="30" t="s">
        <v>112</v>
      </c>
      <c r="F10" s="30" t="s">
        <v>156</v>
      </c>
      <c r="G10" s="30" t="s">
        <v>151</v>
      </c>
      <c r="H10" s="31" t="s">
        <v>157</v>
      </c>
      <c r="I10" s="31" t="s">
        <v>158</v>
      </c>
      <c r="J10" s="31" t="s">
        <v>125</v>
      </c>
      <c r="K10" s="31" t="s">
        <v>159</v>
      </c>
      <c r="L10" s="32">
        <v>4</v>
      </c>
      <c r="M10" s="32" t="s">
        <v>142</v>
      </c>
      <c r="N10" s="31" t="s">
        <v>160</v>
      </c>
    </row>
    <row r="11" spans="2:14" s="17" customFormat="1" ht="58">
      <c r="B11" s="30" t="str">
        <f t="shared" si="0"/>
        <v>OBS-009</v>
      </c>
      <c r="C11" s="30" t="s">
        <v>110</v>
      </c>
      <c r="D11" s="30" t="s">
        <v>111</v>
      </c>
      <c r="E11" s="30" t="s">
        <v>112</v>
      </c>
      <c r="F11" s="30" t="s">
        <v>161</v>
      </c>
      <c r="G11" s="30" t="s">
        <v>122</v>
      </c>
      <c r="H11" s="31" t="s">
        <v>162</v>
      </c>
      <c r="I11" s="31" t="s">
        <v>163</v>
      </c>
      <c r="J11" s="31" t="s">
        <v>147</v>
      </c>
      <c r="K11" s="31" t="s">
        <v>164</v>
      </c>
      <c r="L11" s="32">
        <v>5</v>
      </c>
      <c r="M11" s="32" t="s">
        <v>142</v>
      </c>
      <c r="N11" s="31" t="s">
        <v>165</v>
      </c>
    </row>
    <row r="12" spans="2:14" s="17" customFormat="1" ht="58">
      <c r="B12" s="30" t="str">
        <f t="shared" si="0"/>
        <v>OBS-010</v>
      </c>
      <c r="C12" s="30" t="s">
        <v>110</v>
      </c>
      <c r="D12" s="30" t="s">
        <v>111</v>
      </c>
      <c r="E12" s="30" t="s">
        <v>112</v>
      </c>
      <c r="F12" s="30" t="s">
        <v>113</v>
      </c>
      <c r="G12" s="30" t="s">
        <v>166</v>
      </c>
      <c r="H12" s="31" t="s">
        <v>167</v>
      </c>
      <c r="I12" s="31" t="s">
        <v>168</v>
      </c>
      <c r="J12" s="31" t="s">
        <v>147</v>
      </c>
      <c r="K12" s="31" t="s">
        <v>169</v>
      </c>
      <c r="L12" s="32">
        <v>4</v>
      </c>
      <c r="M12" s="32" t="s">
        <v>142</v>
      </c>
      <c r="N12" s="31" t="s">
        <v>170</v>
      </c>
    </row>
    <row r="13" spans="2:14" s="17" customFormat="1" ht="58">
      <c r="B13" s="30" t="str">
        <f t="shared" si="0"/>
        <v>OBS-011</v>
      </c>
      <c r="C13" s="30" t="s">
        <v>110</v>
      </c>
      <c r="D13" s="30" t="s">
        <v>111</v>
      </c>
      <c r="E13" s="30" t="s">
        <v>112</v>
      </c>
      <c r="F13" s="30" t="s">
        <v>171</v>
      </c>
      <c r="G13" s="30" t="s">
        <v>166</v>
      </c>
      <c r="H13" s="31" t="s">
        <v>172</v>
      </c>
      <c r="I13" s="31" t="s">
        <v>173</v>
      </c>
      <c r="J13" s="31" t="s">
        <v>125</v>
      </c>
      <c r="K13" s="31" t="s">
        <v>174</v>
      </c>
      <c r="L13" s="32">
        <v>4</v>
      </c>
      <c r="M13" s="32" t="s">
        <v>142</v>
      </c>
      <c r="N13" s="31" t="s">
        <v>175</v>
      </c>
    </row>
    <row r="14" spans="2:14" s="17" customFormat="1" ht="43.5">
      <c r="B14" s="30" t="str">
        <f t="shared" si="0"/>
        <v>OBS-012</v>
      </c>
      <c r="C14" s="30" t="s">
        <v>110</v>
      </c>
      <c r="D14" s="30" t="s">
        <v>111</v>
      </c>
      <c r="E14" s="30" t="s">
        <v>112</v>
      </c>
      <c r="F14" s="30" t="s">
        <v>176</v>
      </c>
      <c r="G14" s="30" t="s">
        <v>122</v>
      </c>
      <c r="H14" s="31" t="s">
        <v>177</v>
      </c>
      <c r="I14" s="31" t="s">
        <v>178</v>
      </c>
      <c r="J14" s="31" t="s">
        <v>147</v>
      </c>
      <c r="K14" s="31" t="s">
        <v>179</v>
      </c>
      <c r="L14" s="32">
        <v>4</v>
      </c>
      <c r="M14" s="32" t="s">
        <v>142</v>
      </c>
      <c r="N14" s="31" t="s">
        <v>180</v>
      </c>
    </row>
    <row r="15" spans="2:14" s="17" customFormat="1" ht="58">
      <c r="B15" s="30" t="str">
        <f t="shared" si="0"/>
        <v>OBS-013</v>
      </c>
      <c r="C15" s="30" t="s">
        <v>110</v>
      </c>
      <c r="D15" s="30" t="s">
        <v>111</v>
      </c>
      <c r="E15" s="30" t="s">
        <v>112</v>
      </c>
      <c r="F15" s="30" t="s">
        <v>181</v>
      </c>
      <c r="G15" s="30" t="s">
        <v>182</v>
      </c>
      <c r="H15" s="31" t="s">
        <v>183</v>
      </c>
      <c r="I15" s="31" t="s">
        <v>184</v>
      </c>
      <c r="J15" s="31" t="s">
        <v>147</v>
      </c>
      <c r="K15" s="31" t="s">
        <v>185</v>
      </c>
      <c r="L15" s="32">
        <v>4</v>
      </c>
      <c r="M15" s="32" t="s">
        <v>142</v>
      </c>
      <c r="N15" s="31" t="s">
        <v>186</v>
      </c>
    </row>
    <row r="16" spans="2:14" s="17" customFormat="1" ht="58">
      <c r="B16" s="30" t="str">
        <f t="shared" si="0"/>
        <v>OBS-014</v>
      </c>
      <c r="C16" s="30" t="s">
        <v>110</v>
      </c>
      <c r="D16" s="30" t="s">
        <v>111</v>
      </c>
      <c r="E16" s="30" t="s">
        <v>112</v>
      </c>
      <c r="F16" s="30" t="s">
        <v>187</v>
      </c>
      <c r="G16" s="30" t="s">
        <v>166</v>
      </c>
      <c r="H16" s="31" t="s">
        <v>188</v>
      </c>
      <c r="I16" s="31" t="s">
        <v>189</v>
      </c>
      <c r="J16" s="31" t="s">
        <v>125</v>
      </c>
      <c r="K16" s="31" t="s">
        <v>190</v>
      </c>
      <c r="L16" s="32">
        <v>4</v>
      </c>
      <c r="M16" s="32" t="s">
        <v>142</v>
      </c>
      <c r="N16" s="31" t="s">
        <v>191</v>
      </c>
    </row>
    <row r="17" spans="2:14" s="17" customFormat="1" ht="43.5">
      <c r="B17" s="30" t="str">
        <f t="shared" si="0"/>
        <v>OBS-015</v>
      </c>
      <c r="C17" s="30" t="s">
        <v>110</v>
      </c>
      <c r="D17" s="30" t="s">
        <v>111</v>
      </c>
      <c r="E17" s="30" t="s">
        <v>112</v>
      </c>
      <c r="F17" s="30" t="s">
        <v>192</v>
      </c>
      <c r="G17" s="30" t="s">
        <v>122</v>
      </c>
      <c r="H17" s="31" t="s">
        <v>193</v>
      </c>
      <c r="I17" s="31" t="s">
        <v>194</v>
      </c>
      <c r="J17" s="31" t="s">
        <v>125</v>
      </c>
      <c r="K17" s="31" t="s">
        <v>195</v>
      </c>
      <c r="L17" s="32">
        <v>4</v>
      </c>
      <c r="M17" s="32" t="s">
        <v>142</v>
      </c>
      <c r="N17" s="31" t="s">
        <v>196</v>
      </c>
    </row>
    <row r="18" spans="2:14" s="17" customFormat="1" ht="43.5">
      <c r="B18" s="30" t="str">
        <f t="shared" si="0"/>
        <v>OBS-016</v>
      </c>
      <c r="C18" s="30" t="s">
        <v>110</v>
      </c>
      <c r="D18" s="30" t="s">
        <v>111</v>
      </c>
      <c r="E18" s="30" t="s">
        <v>112</v>
      </c>
      <c r="F18" s="30" t="s">
        <v>197</v>
      </c>
      <c r="G18" s="30" t="s">
        <v>198</v>
      </c>
      <c r="H18" s="31" t="s">
        <v>199</v>
      </c>
      <c r="I18" s="31" t="s">
        <v>200</v>
      </c>
      <c r="J18" s="31" t="s">
        <v>125</v>
      </c>
      <c r="K18" s="31" t="s">
        <v>201</v>
      </c>
      <c r="L18" s="32">
        <v>4</v>
      </c>
      <c r="M18" s="32" t="s">
        <v>142</v>
      </c>
      <c r="N18" s="31" t="s">
        <v>202</v>
      </c>
    </row>
    <row r="19" spans="2:14" s="17" customFormat="1" ht="43.5">
      <c r="B19" s="30" t="str">
        <f t="shared" si="0"/>
        <v>OBS-017</v>
      </c>
      <c r="C19" s="30" t="s">
        <v>110</v>
      </c>
      <c r="D19" s="30" t="s">
        <v>111</v>
      </c>
      <c r="E19" s="30" t="s">
        <v>112</v>
      </c>
      <c r="F19" s="30" t="s">
        <v>203</v>
      </c>
      <c r="G19" s="30" t="s">
        <v>129</v>
      </c>
      <c r="H19" s="31" t="s">
        <v>204</v>
      </c>
      <c r="I19" s="31" t="s">
        <v>205</v>
      </c>
      <c r="J19" s="31" t="s">
        <v>125</v>
      </c>
      <c r="K19" s="31" t="s">
        <v>206</v>
      </c>
      <c r="L19" s="32">
        <v>3</v>
      </c>
      <c r="M19" s="32" t="s">
        <v>142</v>
      </c>
      <c r="N19" s="31" t="s">
        <v>207</v>
      </c>
    </row>
    <row r="20" spans="2:14" s="17" customFormat="1" ht="58">
      <c r="B20" s="30" t="str">
        <f t="shared" si="0"/>
        <v>OBS-018</v>
      </c>
      <c r="C20" s="30" t="s">
        <v>110</v>
      </c>
      <c r="D20" s="30" t="s">
        <v>111</v>
      </c>
      <c r="E20" s="30" t="s">
        <v>112</v>
      </c>
      <c r="F20" s="30" t="s">
        <v>113</v>
      </c>
      <c r="G20" s="30" t="s">
        <v>114</v>
      </c>
      <c r="H20" s="31" t="s">
        <v>208</v>
      </c>
      <c r="I20" s="31" t="s">
        <v>209</v>
      </c>
      <c r="J20" s="31" t="s">
        <v>125</v>
      </c>
      <c r="K20" s="31" t="s">
        <v>210</v>
      </c>
      <c r="L20" s="32">
        <v>4</v>
      </c>
      <c r="M20" s="32" t="s">
        <v>119</v>
      </c>
      <c r="N20" s="31" t="s">
        <v>211</v>
      </c>
    </row>
    <row r="21" spans="2:14" s="17" customFormat="1" ht="43.5">
      <c r="B21" s="30" t="str">
        <f t="shared" si="0"/>
        <v>OBS-019</v>
      </c>
      <c r="C21" s="30" t="s">
        <v>212</v>
      </c>
      <c r="D21" s="30" t="s">
        <v>213</v>
      </c>
      <c r="E21" s="30" t="s">
        <v>112</v>
      </c>
      <c r="F21" s="30"/>
      <c r="G21" s="30" t="s">
        <v>144</v>
      </c>
      <c r="H21" s="31" t="s">
        <v>214</v>
      </c>
      <c r="I21" s="31" t="s">
        <v>215</v>
      </c>
      <c r="J21" s="31" t="s">
        <v>147</v>
      </c>
      <c r="K21" s="31" t="s">
        <v>216</v>
      </c>
      <c r="L21" s="32">
        <v>3</v>
      </c>
      <c r="M21" s="32" t="s">
        <v>142</v>
      </c>
      <c r="N21" s="31" t="s">
        <v>149</v>
      </c>
    </row>
    <row r="22" spans="2:14" s="17" customFormat="1" ht="43.5">
      <c r="B22" s="30" t="str">
        <f t="shared" si="0"/>
        <v>OBS-020</v>
      </c>
      <c r="C22" s="30" t="s">
        <v>212</v>
      </c>
      <c r="D22" s="30" t="s">
        <v>213</v>
      </c>
      <c r="E22" s="30" t="s">
        <v>112</v>
      </c>
      <c r="F22" s="30" t="s">
        <v>217</v>
      </c>
      <c r="G22" s="30" t="s">
        <v>218</v>
      </c>
      <c r="H22" s="31" t="s">
        <v>219</v>
      </c>
      <c r="I22" s="31" t="s">
        <v>220</v>
      </c>
      <c r="J22" s="31" t="s">
        <v>125</v>
      </c>
      <c r="K22" s="31" t="s">
        <v>221</v>
      </c>
      <c r="L22" s="32">
        <v>5</v>
      </c>
      <c r="M22" s="32" t="s">
        <v>119</v>
      </c>
      <c r="N22" s="31" t="s">
        <v>222</v>
      </c>
    </row>
    <row r="23" spans="2:14" s="17" customFormat="1" ht="43.5">
      <c r="B23" s="30" t="str">
        <f t="shared" si="0"/>
        <v>OBS-021</v>
      </c>
      <c r="C23" s="30" t="s">
        <v>212</v>
      </c>
      <c r="D23" s="30" t="s">
        <v>213</v>
      </c>
      <c r="E23" s="30" t="s">
        <v>112</v>
      </c>
      <c r="F23" s="30" t="s">
        <v>217</v>
      </c>
      <c r="G23" s="30" t="s">
        <v>218</v>
      </c>
      <c r="H23" s="31" t="s">
        <v>223</v>
      </c>
      <c r="I23" s="31" t="s">
        <v>224</v>
      </c>
      <c r="J23" s="31" t="s">
        <v>117</v>
      </c>
      <c r="K23" s="31" t="s">
        <v>225</v>
      </c>
      <c r="L23" s="32">
        <v>5</v>
      </c>
      <c r="M23" s="32" t="s">
        <v>119</v>
      </c>
      <c r="N23" s="31" t="s">
        <v>226</v>
      </c>
    </row>
    <row r="24" spans="2:14" s="17" customFormat="1" ht="43.5">
      <c r="B24" s="30" t="str">
        <f t="shared" si="0"/>
        <v>OBS-022</v>
      </c>
      <c r="C24" s="30" t="s">
        <v>212</v>
      </c>
      <c r="D24" s="30" t="s">
        <v>213</v>
      </c>
      <c r="E24" s="30" t="s">
        <v>112</v>
      </c>
      <c r="F24" s="30" t="s">
        <v>227</v>
      </c>
      <c r="G24" s="30" t="s">
        <v>218</v>
      </c>
      <c r="H24" s="31" t="s">
        <v>228</v>
      </c>
      <c r="I24" s="31" t="s">
        <v>229</v>
      </c>
      <c r="J24" s="31" t="s">
        <v>132</v>
      </c>
      <c r="K24" s="31" t="s">
        <v>230</v>
      </c>
      <c r="L24" s="32">
        <v>5</v>
      </c>
      <c r="M24" s="32" t="s">
        <v>119</v>
      </c>
      <c r="N24" s="31" t="s">
        <v>231</v>
      </c>
    </row>
    <row r="25" spans="2:14" s="17" customFormat="1" ht="43.5">
      <c r="B25" s="30" t="str">
        <f t="shared" si="0"/>
        <v>OBS-023</v>
      </c>
      <c r="C25" s="30" t="s">
        <v>212</v>
      </c>
      <c r="D25" s="30" t="s">
        <v>213</v>
      </c>
      <c r="E25" s="30" t="s">
        <v>112</v>
      </c>
      <c r="F25" s="30" t="s">
        <v>227</v>
      </c>
      <c r="G25" s="30" t="s">
        <v>218</v>
      </c>
      <c r="H25" s="31" t="s">
        <v>232</v>
      </c>
      <c r="I25" s="31" t="s">
        <v>233</v>
      </c>
      <c r="J25" s="31" t="s">
        <v>117</v>
      </c>
      <c r="K25" s="31" t="s">
        <v>234</v>
      </c>
      <c r="L25" s="32">
        <v>5</v>
      </c>
      <c r="M25" s="32" t="s">
        <v>119</v>
      </c>
      <c r="N25" s="31" t="s">
        <v>235</v>
      </c>
    </row>
    <row r="26" spans="2:14" s="17" customFormat="1" ht="43.5">
      <c r="B26" s="30" t="str">
        <f t="shared" si="0"/>
        <v>OBS-024</v>
      </c>
      <c r="C26" s="30" t="s">
        <v>212</v>
      </c>
      <c r="D26" s="30" t="s">
        <v>213</v>
      </c>
      <c r="E26" s="30" t="s">
        <v>112</v>
      </c>
      <c r="F26" s="30" t="s">
        <v>236</v>
      </c>
      <c r="G26" s="30" t="s">
        <v>237</v>
      </c>
      <c r="H26" s="31" t="s">
        <v>238</v>
      </c>
      <c r="I26" s="31" t="s">
        <v>239</v>
      </c>
      <c r="J26" s="31" t="s">
        <v>125</v>
      </c>
      <c r="K26" s="31" t="s">
        <v>240</v>
      </c>
      <c r="L26" s="32">
        <v>4</v>
      </c>
      <c r="M26" s="32" t="s">
        <v>119</v>
      </c>
      <c r="N26" s="31" t="s">
        <v>241</v>
      </c>
    </row>
    <row r="27" spans="2:14" s="17" customFormat="1" ht="58">
      <c r="B27" s="30" t="str">
        <f t="shared" si="0"/>
        <v>OBS-025</v>
      </c>
      <c r="C27" s="30" t="s">
        <v>212</v>
      </c>
      <c r="D27" s="30" t="s">
        <v>213</v>
      </c>
      <c r="E27" s="30" t="s">
        <v>112</v>
      </c>
      <c r="F27" s="30" t="s">
        <v>236</v>
      </c>
      <c r="G27" s="30" t="s">
        <v>237</v>
      </c>
      <c r="H27" s="31" t="s">
        <v>242</v>
      </c>
      <c r="I27" s="31" t="s">
        <v>243</v>
      </c>
      <c r="J27" s="31" t="s">
        <v>125</v>
      </c>
      <c r="K27" s="31" t="s">
        <v>244</v>
      </c>
      <c r="L27" s="32">
        <v>5</v>
      </c>
      <c r="M27" s="32" t="s">
        <v>142</v>
      </c>
      <c r="N27" s="31" t="s">
        <v>245</v>
      </c>
    </row>
    <row r="28" spans="2:14" s="17" customFormat="1" ht="43.5">
      <c r="B28" s="30" t="str">
        <f t="shared" si="0"/>
        <v>OBS-026</v>
      </c>
      <c r="C28" s="30" t="s">
        <v>212</v>
      </c>
      <c r="D28" s="30" t="s">
        <v>213</v>
      </c>
      <c r="E28" s="30" t="s">
        <v>112</v>
      </c>
      <c r="F28" s="30" t="s">
        <v>197</v>
      </c>
      <c r="G28" s="30" t="s">
        <v>198</v>
      </c>
      <c r="H28" s="31" t="s">
        <v>246</v>
      </c>
      <c r="I28" s="31" t="s">
        <v>247</v>
      </c>
      <c r="J28" s="31" t="s">
        <v>125</v>
      </c>
      <c r="K28" s="31" t="s">
        <v>248</v>
      </c>
      <c r="L28" s="32">
        <v>5</v>
      </c>
      <c r="M28" s="32" t="s">
        <v>119</v>
      </c>
      <c r="N28" s="31" t="s">
        <v>249</v>
      </c>
    </row>
    <row r="29" spans="2:14" s="17" customFormat="1" ht="43.5">
      <c r="B29" s="30" t="str">
        <f t="shared" si="0"/>
        <v>OBS-027</v>
      </c>
      <c r="C29" s="30" t="s">
        <v>212</v>
      </c>
      <c r="D29" s="30" t="s">
        <v>213</v>
      </c>
      <c r="E29" s="30" t="s">
        <v>112</v>
      </c>
      <c r="F29" s="30" t="s">
        <v>197</v>
      </c>
      <c r="G29" s="30" t="s">
        <v>198</v>
      </c>
      <c r="H29" s="31" t="s">
        <v>250</v>
      </c>
      <c r="I29" s="31" t="s">
        <v>251</v>
      </c>
      <c r="J29" s="31" t="s">
        <v>132</v>
      </c>
      <c r="K29" s="31" t="s">
        <v>252</v>
      </c>
      <c r="L29" s="32">
        <v>5</v>
      </c>
      <c r="M29" s="32" t="s">
        <v>119</v>
      </c>
      <c r="N29" s="31" t="s">
        <v>253</v>
      </c>
    </row>
    <row r="30" spans="2:14" s="17" customFormat="1" ht="43.5">
      <c r="B30" s="30" t="str">
        <f t="shared" si="0"/>
        <v>OBS-028</v>
      </c>
      <c r="C30" s="30" t="s">
        <v>212</v>
      </c>
      <c r="D30" s="30" t="s">
        <v>213</v>
      </c>
      <c r="E30" s="30" t="s">
        <v>112</v>
      </c>
      <c r="F30" s="30" t="s">
        <v>254</v>
      </c>
      <c r="G30" s="30" t="s">
        <v>255</v>
      </c>
      <c r="H30" s="31" t="s">
        <v>256</v>
      </c>
      <c r="I30" s="31" t="s">
        <v>257</v>
      </c>
      <c r="J30" s="31" t="s">
        <v>132</v>
      </c>
      <c r="K30" s="31" t="s">
        <v>258</v>
      </c>
      <c r="L30" s="32">
        <v>4</v>
      </c>
      <c r="M30" s="32" t="s">
        <v>119</v>
      </c>
      <c r="N30" s="31" t="s">
        <v>259</v>
      </c>
    </row>
    <row r="31" spans="2:14" s="17" customFormat="1" ht="43.5">
      <c r="B31" s="30" t="str">
        <f t="shared" si="0"/>
        <v>OBS-029</v>
      </c>
      <c r="C31" s="30" t="s">
        <v>212</v>
      </c>
      <c r="D31" s="30" t="s">
        <v>213</v>
      </c>
      <c r="E31" s="30" t="s">
        <v>112</v>
      </c>
      <c r="F31" s="30" t="s">
        <v>254</v>
      </c>
      <c r="G31" s="30" t="s">
        <v>255</v>
      </c>
      <c r="H31" s="31" t="s">
        <v>260</v>
      </c>
      <c r="I31" s="31" t="s">
        <v>261</v>
      </c>
      <c r="J31" s="31" t="s">
        <v>125</v>
      </c>
      <c r="K31" s="31" t="s">
        <v>262</v>
      </c>
      <c r="L31" s="32">
        <v>5</v>
      </c>
      <c r="M31" s="32" t="s">
        <v>119</v>
      </c>
      <c r="N31" s="31" t="s">
        <v>263</v>
      </c>
    </row>
    <row r="32" spans="2:14" s="17" customFormat="1" ht="43.5">
      <c r="B32" s="30" t="str">
        <f t="shared" si="0"/>
        <v>OBS-030</v>
      </c>
      <c r="C32" s="30" t="s">
        <v>212</v>
      </c>
      <c r="D32" s="30" t="s">
        <v>213</v>
      </c>
      <c r="E32" s="30" t="s">
        <v>112</v>
      </c>
      <c r="F32" s="30" t="s">
        <v>254</v>
      </c>
      <c r="G32" s="30" t="s">
        <v>255</v>
      </c>
      <c r="H32" s="31" t="s">
        <v>264</v>
      </c>
      <c r="I32" s="31" t="s">
        <v>265</v>
      </c>
      <c r="J32" s="31" t="s">
        <v>125</v>
      </c>
      <c r="K32" s="31" t="s">
        <v>266</v>
      </c>
      <c r="L32" s="32">
        <v>4</v>
      </c>
      <c r="M32" s="32" t="s">
        <v>119</v>
      </c>
      <c r="N32" s="31" t="s">
        <v>267</v>
      </c>
    </row>
    <row r="33" spans="2:14" s="17" customFormat="1" ht="58">
      <c r="B33" s="30" t="str">
        <f t="shared" si="0"/>
        <v>OBS-031</v>
      </c>
      <c r="C33" s="30" t="s">
        <v>212</v>
      </c>
      <c r="D33" s="30" t="s">
        <v>213</v>
      </c>
      <c r="E33" s="30" t="s">
        <v>112</v>
      </c>
      <c r="F33" s="30" t="s">
        <v>254</v>
      </c>
      <c r="G33" s="30" t="s">
        <v>255</v>
      </c>
      <c r="H33" s="31" t="s">
        <v>268</v>
      </c>
      <c r="I33" s="31" t="s">
        <v>269</v>
      </c>
      <c r="J33" s="31" t="s">
        <v>132</v>
      </c>
      <c r="K33" s="31" t="s">
        <v>270</v>
      </c>
      <c r="L33" s="32">
        <v>4</v>
      </c>
      <c r="M33" s="32" t="s">
        <v>119</v>
      </c>
      <c r="N33" s="31" t="s">
        <v>271</v>
      </c>
    </row>
    <row r="34" spans="2:14" s="17" customFormat="1" ht="58">
      <c r="B34" s="30" t="str">
        <f t="shared" si="0"/>
        <v>OBS-032</v>
      </c>
      <c r="C34" s="30" t="s">
        <v>212</v>
      </c>
      <c r="D34" s="30" t="s">
        <v>213</v>
      </c>
      <c r="E34" s="30" t="s">
        <v>112</v>
      </c>
      <c r="F34" s="30" t="s">
        <v>217</v>
      </c>
      <c r="G34" s="30" t="s">
        <v>218</v>
      </c>
      <c r="H34" s="31" t="s">
        <v>272</v>
      </c>
      <c r="I34" s="31" t="s">
        <v>273</v>
      </c>
      <c r="J34" s="31" t="s">
        <v>125</v>
      </c>
      <c r="K34" s="31" t="s">
        <v>274</v>
      </c>
      <c r="L34" s="32">
        <v>4</v>
      </c>
      <c r="M34" s="32" t="s">
        <v>119</v>
      </c>
      <c r="N34" s="31" t="s">
        <v>275</v>
      </c>
    </row>
    <row r="35" spans="2:14" s="17" customFormat="1" ht="58">
      <c r="B35" s="30" t="str">
        <f t="shared" si="0"/>
        <v>OBS-033</v>
      </c>
      <c r="C35" s="30" t="s">
        <v>212</v>
      </c>
      <c r="D35" s="30" t="s">
        <v>213</v>
      </c>
      <c r="E35" s="30" t="s">
        <v>112</v>
      </c>
      <c r="F35" s="30" t="s">
        <v>217</v>
      </c>
      <c r="G35" s="30" t="s">
        <v>218</v>
      </c>
      <c r="H35" s="31" t="s">
        <v>276</v>
      </c>
      <c r="I35" s="31" t="s">
        <v>277</v>
      </c>
      <c r="J35" s="31" t="s">
        <v>125</v>
      </c>
      <c r="K35" s="31" t="s">
        <v>278</v>
      </c>
      <c r="L35" s="32">
        <v>4</v>
      </c>
      <c r="M35" s="32" t="s">
        <v>119</v>
      </c>
      <c r="N35" s="31" t="s">
        <v>279</v>
      </c>
    </row>
    <row r="36" spans="2:14" s="17" customFormat="1" ht="58">
      <c r="B36" s="30" t="str">
        <f t="shared" si="0"/>
        <v>OBS-034</v>
      </c>
      <c r="C36" s="30" t="s">
        <v>212</v>
      </c>
      <c r="D36" s="30" t="s">
        <v>213</v>
      </c>
      <c r="E36" s="30" t="s">
        <v>112</v>
      </c>
      <c r="F36" s="30" t="s">
        <v>217</v>
      </c>
      <c r="G36" s="30" t="s">
        <v>218</v>
      </c>
      <c r="H36" s="31" t="s">
        <v>280</v>
      </c>
      <c r="I36" s="31" t="s">
        <v>281</v>
      </c>
      <c r="J36" s="31" t="s">
        <v>117</v>
      </c>
      <c r="K36" s="31" t="s">
        <v>282</v>
      </c>
      <c r="L36" s="32">
        <v>5</v>
      </c>
      <c r="M36" s="32" t="s">
        <v>119</v>
      </c>
      <c r="N36" s="31" t="s">
        <v>283</v>
      </c>
    </row>
    <row r="37" spans="2:14" s="17" customFormat="1" ht="58">
      <c r="B37" s="30" t="str">
        <f t="shared" si="0"/>
        <v>OBS-035</v>
      </c>
      <c r="C37" s="30" t="s">
        <v>284</v>
      </c>
      <c r="D37" s="30" t="s">
        <v>285</v>
      </c>
      <c r="E37" s="30" t="s">
        <v>112</v>
      </c>
      <c r="F37" s="30"/>
      <c r="G37" s="30" t="s">
        <v>144</v>
      </c>
      <c r="H37" s="31" t="s">
        <v>286</v>
      </c>
      <c r="I37" s="31" t="s">
        <v>287</v>
      </c>
      <c r="J37" s="31" t="s">
        <v>132</v>
      </c>
      <c r="K37" s="31" t="s">
        <v>288</v>
      </c>
      <c r="L37" s="32">
        <v>4</v>
      </c>
      <c r="M37" s="32" t="s">
        <v>142</v>
      </c>
      <c r="N37" s="31" t="s">
        <v>149</v>
      </c>
    </row>
    <row r="38" spans="2:14" s="17" customFormat="1" ht="43.5">
      <c r="B38" s="30" t="str">
        <f t="shared" si="0"/>
        <v>OBS-036</v>
      </c>
      <c r="C38" s="30" t="s">
        <v>284</v>
      </c>
      <c r="D38" s="30" t="s">
        <v>285</v>
      </c>
      <c r="E38" s="30" t="s">
        <v>112</v>
      </c>
      <c r="F38" s="30" t="s">
        <v>289</v>
      </c>
      <c r="G38" s="30" t="s">
        <v>290</v>
      </c>
      <c r="H38" s="31" t="s">
        <v>291</v>
      </c>
      <c r="I38" s="31" t="s">
        <v>292</v>
      </c>
      <c r="J38" s="31" t="s">
        <v>125</v>
      </c>
      <c r="K38" s="31" t="s">
        <v>293</v>
      </c>
      <c r="L38" s="32">
        <v>5</v>
      </c>
      <c r="M38" s="32" t="s">
        <v>119</v>
      </c>
      <c r="N38" s="31" t="s">
        <v>294</v>
      </c>
    </row>
    <row r="39" spans="2:14" s="17" customFormat="1" ht="43.5">
      <c r="B39" s="30" t="str">
        <f t="shared" si="0"/>
        <v>OBS-037</v>
      </c>
      <c r="C39" s="30" t="s">
        <v>284</v>
      </c>
      <c r="D39" s="30" t="s">
        <v>285</v>
      </c>
      <c r="E39" s="30" t="s">
        <v>112</v>
      </c>
      <c r="F39" s="30" t="s">
        <v>289</v>
      </c>
      <c r="G39" s="30" t="s">
        <v>290</v>
      </c>
      <c r="H39" s="31" t="s">
        <v>295</v>
      </c>
      <c r="I39" s="31" t="s">
        <v>296</v>
      </c>
      <c r="J39" s="31" t="s">
        <v>125</v>
      </c>
      <c r="K39" s="31" t="s">
        <v>297</v>
      </c>
      <c r="L39" s="32">
        <v>5</v>
      </c>
      <c r="M39" s="32" t="s">
        <v>119</v>
      </c>
      <c r="N39" s="31" t="s">
        <v>298</v>
      </c>
    </row>
    <row r="40" spans="2:14" s="17" customFormat="1" ht="58">
      <c r="B40" s="30" t="str">
        <f t="shared" si="0"/>
        <v>OBS-038</v>
      </c>
      <c r="C40" s="30" t="s">
        <v>284</v>
      </c>
      <c r="D40" s="30" t="s">
        <v>285</v>
      </c>
      <c r="E40" s="30" t="s">
        <v>112</v>
      </c>
      <c r="F40" s="30" t="s">
        <v>289</v>
      </c>
      <c r="G40" s="30" t="s">
        <v>290</v>
      </c>
      <c r="H40" s="31" t="s">
        <v>299</v>
      </c>
      <c r="I40" s="31" t="s">
        <v>300</v>
      </c>
      <c r="J40" s="31" t="s">
        <v>132</v>
      </c>
      <c r="K40" s="31" t="s">
        <v>301</v>
      </c>
      <c r="L40" s="32">
        <v>5</v>
      </c>
      <c r="M40" s="32" t="s">
        <v>119</v>
      </c>
      <c r="N40" s="31" t="s">
        <v>302</v>
      </c>
    </row>
    <row r="41" spans="2:14" s="17" customFormat="1" ht="58">
      <c r="B41" s="30" t="str">
        <f t="shared" si="0"/>
        <v>OBS-039</v>
      </c>
      <c r="C41" s="30" t="s">
        <v>284</v>
      </c>
      <c r="D41" s="30" t="s">
        <v>285</v>
      </c>
      <c r="E41" s="30" t="s">
        <v>112</v>
      </c>
      <c r="F41" s="30" t="s">
        <v>303</v>
      </c>
      <c r="G41" s="30" t="s">
        <v>304</v>
      </c>
      <c r="H41" s="31" t="s">
        <v>305</v>
      </c>
      <c r="I41" s="31" t="s">
        <v>306</v>
      </c>
      <c r="J41" s="31" t="s">
        <v>132</v>
      </c>
      <c r="K41" s="31" t="s">
        <v>307</v>
      </c>
      <c r="L41" s="32">
        <v>5</v>
      </c>
      <c r="M41" s="32" t="s">
        <v>119</v>
      </c>
      <c r="N41" s="31" t="s">
        <v>308</v>
      </c>
    </row>
    <row r="42" spans="2:14" s="17" customFormat="1" ht="58">
      <c r="B42" s="30" t="str">
        <f t="shared" si="0"/>
        <v>OBS-040</v>
      </c>
      <c r="C42" s="30" t="s">
        <v>284</v>
      </c>
      <c r="D42" s="30" t="s">
        <v>285</v>
      </c>
      <c r="E42" s="30" t="s">
        <v>112</v>
      </c>
      <c r="F42" s="30" t="s">
        <v>309</v>
      </c>
      <c r="G42" s="30" t="s">
        <v>310</v>
      </c>
      <c r="H42" s="31" t="s">
        <v>311</v>
      </c>
      <c r="I42" s="31" t="s">
        <v>312</v>
      </c>
      <c r="J42" s="31" t="s">
        <v>125</v>
      </c>
      <c r="K42" s="31" t="s">
        <v>313</v>
      </c>
      <c r="L42" s="32">
        <v>5</v>
      </c>
      <c r="M42" s="32" t="s">
        <v>119</v>
      </c>
      <c r="N42" s="31" t="s">
        <v>314</v>
      </c>
    </row>
    <row r="43" spans="2:14" s="17" customFormat="1" ht="43.5">
      <c r="B43" s="30" t="str">
        <f t="shared" si="0"/>
        <v>OBS-041</v>
      </c>
      <c r="C43" s="30" t="s">
        <v>284</v>
      </c>
      <c r="D43" s="30" t="s">
        <v>285</v>
      </c>
      <c r="E43" s="30" t="s">
        <v>112</v>
      </c>
      <c r="F43" s="30" t="s">
        <v>315</v>
      </c>
      <c r="G43" s="30" t="s">
        <v>316</v>
      </c>
      <c r="H43" s="31" t="s">
        <v>317</v>
      </c>
      <c r="I43" s="31" t="s">
        <v>318</v>
      </c>
      <c r="J43" s="31" t="s">
        <v>125</v>
      </c>
      <c r="K43" s="31" t="s">
        <v>319</v>
      </c>
      <c r="L43" s="32">
        <v>5</v>
      </c>
      <c r="M43" s="32" t="s">
        <v>119</v>
      </c>
      <c r="N43" s="31" t="s">
        <v>320</v>
      </c>
    </row>
    <row r="44" spans="2:14" s="17" customFormat="1" ht="58">
      <c r="B44" s="30" t="str">
        <f t="shared" si="0"/>
        <v>OBS-042</v>
      </c>
      <c r="C44" s="30" t="s">
        <v>284</v>
      </c>
      <c r="D44" s="30" t="s">
        <v>285</v>
      </c>
      <c r="E44" s="30" t="s">
        <v>112</v>
      </c>
      <c r="F44" s="30" t="s">
        <v>315</v>
      </c>
      <c r="G44" s="30" t="s">
        <v>316</v>
      </c>
      <c r="H44" s="31" t="s">
        <v>321</v>
      </c>
      <c r="I44" s="31" t="s">
        <v>322</v>
      </c>
      <c r="J44" s="31" t="s">
        <v>132</v>
      </c>
      <c r="K44" s="31" t="s">
        <v>323</v>
      </c>
      <c r="L44" s="32">
        <v>5</v>
      </c>
      <c r="M44" s="32" t="s">
        <v>119</v>
      </c>
      <c r="N44" s="31" t="s">
        <v>324</v>
      </c>
    </row>
    <row r="45" spans="2:14" s="17" customFormat="1" ht="58">
      <c r="B45" s="30" t="str">
        <f t="shared" si="0"/>
        <v>OBS-043</v>
      </c>
      <c r="C45" s="30" t="s">
        <v>284</v>
      </c>
      <c r="D45" s="30" t="s">
        <v>285</v>
      </c>
      <c r="E45" s="30" t="s">
        <v>112</v>
      </c>
      <c r="F45" s="30" t="s">
        <v>113</v>
      </c>
      <c r="G45" s="30" t="s">
        <v>166</v>
      </c>
      <c r="H45" s="31" t="s">
        <v>325</v>
      </c>
      <c r="I45" s="31" t="s">
        <v>326</v>
      </c>
      <c r="J45" s="31" t="s">
        <v>125</v>
      </c>
      <c r="K45" s="31" t="s">
        <v>327</v>
      </c>
      <c r="L45" s="32">
        <v>5</v>
      </c>
      <c r="M45" s="32" t="s">
        <v>119</v>
      </c>
      <c r="N45" s="31" t="s">
        <v>328</v>
      </c>
    </row>
    <row r="46" spans="2:14" s="17" customFormat="1" ht="58">
      <c r="B46" s="30" t="str">
        <f t="shared" si="0"/>
        <v>OBS-044</v>
      </c>
      <c r="C46" s="30" t="s">
        <v>284</v>
      </c>
      <c r="D46" s="30" t="s">
        <v>285</v>
      </c>
      <c r="E46" s="30" t="s">
        <v>112</v>
      </c>
      <c r="F46" s="30" t="s">
        <v>329</v>
      </c>
      <c r="G46" s="30" t="s">
        <v>330</v>
      </c>
      <c r="H46" s="31" t="s">
        <v>331</v>
      </c>
      <c r="I46" s="31" t="s">
        <v>332</v>
      </c>
      <c r="J46" s="31" t="s">
        <v>125</v>
      </c>
      <c r="K46" s="31" t="s">
        <v>333</v>
      </c>
      <c r="L46" s="32">
        <v>4</v>
      </c>
      <c r="M46" s="32" t="s">
        <v>119</v>
      </c>
      <c r="N46" s="31" t="s">
        <v>334</v>
      </c>
    </row>
    <row r="47" spans="2:14" s="17" customFormat="1" ht="58">
      <c r="B47" s="30" t="str">
        <f t="shared" si="0"/>
        <v>OBS-045</v>
      </c>
      <c r="C47" s="30" t="s">
        <v>284</v>
      </c>
      <c r="D47" s="30" t="s">
        <v>285</v>
      </c>
      <c r="E47" s="30" t="s">
        <v>112</v>
      </c>
      <c r="F47" s="30" t="s">
        <v>329</v>
      </c>
      <c r="G47" s="30" t="s">
        <v>330</v>
      </c>
      <c r="H47" s="31" t="s">
        <v>335</v>
      </c>
      <c r="I47" s="31" t="s">
        <v>336</v>
      </c>
      <c r="J47" s="31" t="s">
        <v>125</v>
      </c>
      <c r="K47" s="31" t="s">
        <v>337</v>
      </c>
      <c r="L47" s="32">
        <v>4</v>
      </c>
      <c r="M47" s="32" t="s">
        <v>119</v>
      </c>
      <c r="N47" s="31" t="s">
        <v>338</v>
      </c>
    </row>
    <row r="48" spans="2:14" s="17" customFormat="1" ht="43.5">
      <c r="B48" s="30" t="str">
        <f t="shared" si="0"/>
        <v>OBS-046</v>
      </c>
      <c r="C48" s="30" t="s">
        <v>284</v>
      </c>
      <c r="D48" s="30" t="s">
        <v>285</v>
      </c>
      <c r="E48" s="30" t="s">
        <v>112</v>
      </c>
      <c r="F48" s="30" t="s">
        <v>339</v>
      </c>
      <c r="G48" s="30" t="s">
        <v>198</v>
      </c>
      <c r="H48" s="31" t="s">
        <v>340</v>
      </c>
      <c r="I48" s="31" t="s">
        <v>341</v>
      </c>
      <c r="J48" s="31" t="s">
        <v>125</v>
      </c>
      <c r="K48" s="31" t="s">
        <v>342</v>
      </c>
      <c r="L48" s="32">
        <v>5</v>
      </c>
      <c r="M48" s="32" t="s">
        <v>119</v>
      </c>
      <c r="N48" s="31" t="s">
        <v>343</v>
      </c>
    </row>
    <row r="49" spans="2:14" s="17" customFormat="1" ht="43.5">
      <c r="B49" s="30" t="str">
        <f t="shared" si="0"/>
        <v>OBS-047</v>
      </c>
      <c r="C49" s="30" t="s">
        <v>284</v>
      </c>
      <c r="D49" s="30" t="s">
        <v>285</v>
      </c>
      <c r="E49" s="30" t="s">
        <v>112</v>
      </c>
      <c r="F49" s="30" t="s">
        <v>344</v>
      </c>
      <c r="G49" s="30" t="s">
        <v>198</v>
      </c>
      <c r="H49" s="31" t="s">
        <v>345</v>
      </c>
      <c r="I49" s="31" t="s">
        <v>346</v>
      </c>
      <c r="J49" s="31" t="s">
        <v>125</v>
      </c>
      <c r="K49" s="31" t="s">
        <v>347</v>
      </c>
      <c r="L49" s="32">
        <v>4</v>
      </c>
      <c r="M49" s="32" t="s">
        <v>142</v>
      </c>
      <c r="N49" s="31" t="s">
        <v>348</v>
      </c>
    </row>
    <row r="50" spans="2:14" s="17" customFormat="1" ht="58">
      <c r="B50" s="30" t="str">
        <f t="shared" si="0"/>
        <v>OBS-048</v>
      </c>
      <c r="C50" s="30" t="s">
        <v>284</v>
      </c>
      <c r="D50" s="30" t="s">
        <v>285</v>
      </c>
      <c r="E50" s="30" t="s">
        <v>112</v>
      </c>
      <c r="F50" s="30" t="s">
        <v>349</v>
      </c>
      <c r="G50" s="30" t="s">
        <v>350</v>
      </c>
      <c r="H50" s="31" t="s">
        <v>351</v>
      </c>
      <c r="I50" s="31" t="s">
        <v>352</v>
      </c>
      <c r="J50" s="31" t="s">
        <v>125</v>
      </c>
      <c r="K50" s="31" t="s">
        <v>353</v>
      </c>
      <c r="L50" s="32">
        <v>5</v>
      </c>
      <c r="M50" s="32" t="s">
        <v>119</v>
      </c>
      <c r="N50" s="31" t="s">
        <v>354</v>
      </c>
    </row>
    <row r="51" spans="2:14" s="17" customFormat="1" ht="58">
      <c r="B51" s="30" t="str">
        <f t="shared" si="0"/>
        <v>OBS-049</v>
      </c>
      <c r="C51" s="30" t="s">
        <v>284</v>
      </c>
      <c r="D51" s="30" t="s">
        <v>285</v>
      </c>
      <c r="E51" s="30" t="s">
        <v>112</v>
      </c>
      <c r="F51" s="30" t="s">
        <v>355</v>
      </c>
      <c r="G51" s="30" t="s">
        <v>356</v>
      </c>
      <c r="H51" s="31" t="s">
        <v>357</v>
      </c>
      <c r="I51" s="31" t="s">
        <v>358</v>
      </c>
      <c r="J51" s="31" t="s">
        <v>125</v>
      </c>
      <c r="K51" s="31" t="s">
        <v>359</v>
      </c>
      <c r="L51" s="32">
        <v>4</v>
      </c>
      <c r="M51" s="32" t="s">
        <v>119</v>
      </c>
      <c r="N51" s="31" t="s">
        <v>360</v>
      </c>
    </row>
    <row r="52" spans="2:14" s="17" customFormat="1" ht="58">
      <c r="B52" s="30" t="str">
        <f t="shared" si="0"/>
        <v>OBS-050</v>
      </c>
      <c r="C52" s="30" t="s">
        <v>284</v>
      </c>
      <c r="D52" s="30" t="s">
        <v>285</v>
      </c>
      <c r="E52" s="30" t="s">
        <v>112</v>
      </c>
      <c r="F52" s="30" t="s">
        <v>355</v>
      </c>
      <c r="G52" s="30" t="s">
        <v>356</v>
      </c>
      <c r="H52" s="31" t="s">
        <v>361</v>
      </c>
      <c r="I52" s="31" t="s">
        <v>362</v>
      </c>
      <c r="J52" s="31" t="s">
        <v>125</v>
      </c>
      <c r="K52" s="31" t="s">
        <v>363</v>
      </c>
      <c r="L52" s="32">
        <v>4</v>
      </c>
      <c r="M52" s="32" t="s">
        <v>142</v>
      </c>
      <c r="N52" s="31" t="s">
        <v>364</v>
      </c>
    </row>
    <row r="53" spans="2:14" s="17" customFormat="1" ht="58">
      <c r="B53" s="30" t="str">
        <f t="shared" si="0"/>
        <v>OBS-051</v>
      </c>
      <c r="C53" s="30" t="s">
        <v>284</v>
      </c>
      <c r="D53" s="30" t="s">
        <v>285</v>
      </c>
      <c r="E53" s="30" t="s">
        <v>112</v>
      </c>
      <c r="F53" s="30" t="s">
        <v>113</v>
      </c>
      <c r="G53" s="30" t="s">
        <v>114</v>
      </c>
      <c r="H53" s="31" t="s">
        <v>365</v>
      </c>
      <c r="I53" s="31" t="s">
        <v>366</v>
      </c>
      <c r="J53" s="31" t="s">
        <v>117</v>
      </c>
      <c r="K53" s="31" t="s">
        <v>367</v>
      </c>
      <c r="L53" s="32">
        <v>4</v>
      </c>
      <c r="M53" s="32" t="s">
        <v>142</v>
      </c>
      <c r="N53" s="31" t="s">
        <v>368</v>
      </c>
    </row>
    <row r="54" spans="2:14" s="17" customFormat="1" ht="58">
      <c r="B54" s="30" t="str">
        <f t="shared" si="0"/>
        <v>OBS-052</v>
      </c>
      <c r="C54" s="30" t="s">
        <v>284</v>
      </c>
      <c r="D54" s="30" t="s">
        <v>285</v>
      </c>
      <c r="E54" s="30" t="s">
        <v>112</v>
      </c>
      <c r="F54" s="30" t="s">
        <v>236</v>
      </c>
      <c r="G54" s="30" t="s">
        <v>237</v>
      </c>
      <c r="H54" s="31" t="s">
        <v>369</v>
      </c>
      <c r="I54" s="31" t="s">
        <v>370</v>
      </c>
      <c r="J54" s="31" t="s">
        <v>147</v>
      </c>
      <c r="K54" s="31" t="s">
        <v>371</v>
      </c>
      <c r="L54" s="32">
        <v>4</v>
      </c>
      <c r="M54" s="32" t="s">
        <v>142</v>
      </c>
      <c r="N54" s="31" t="s">
        <v>372</v>
      </c>
    </row>
    <row r="55" spans="2:14" s="17" customFormat="1" ht="58">
      <c r="B55" s="30" t="str">
        <f t="shared" si="0"/>
        <v>OBS-053</v>
      </c>
      <c r="C55" s="30" t="s">
        <v>373</v>
      </c>
      <c r="D55" s="30" t="s">
        <v>374</v>
      </c>
      <c r="E55" s="30" t="s">
        <v>112</v>
      </c>
      <c r="F55" s="30"/>
      <c r="G55" s="30" t="s">
        <v>144</v>
      </c>
      <c r="H55" s="31" t="s">
        <v>375</v>
      </c>
      <c r="I55" s="31" t="s">
        <v>376</v>
      </c>
      <c r="J55" s="31" t="s">
        <v>132</v>
      </c>
      <c r="K55" s="31" t="s">
        <v>377</v>
      </c>
      <c r="L55" s="32">
        <v>4</v>
      </c>
      <c r="M55" s="32" t="s">
        <v>142</v>
      </c>
      <c r="N55" s="31" t="s">
        <v>149</v>
      </c>
    </row>
    <row r="56" spans="2:14" s="17" customFormat="1" ht="43.5">
      <c r="B56" s="30" t="str">
        <f t="shared" si="0"/>
        <v>OBS-054</v>
      </c>
      <c r="C56" s="30" t="s">
        <v>373</v>
      </c>
      <c r="D56" s="30" t="s">
        <v>374</v>
      </c>
      <c r="E56" s="30" t="s">
        <v>112</v>
      </c>
      <c r="F56" s="30" t="s">
        <v>113</v>
      </c>
      <c r="G56" s="30" t="s">
        <v>114</v>
      </c>
      <c r="H56" s="31" t="s">
        <v>378</v>
      </c>
      <c r="I56" s="31" t="s">
        <v>379</v>
      </c>
      <c r="J56" s="31" t="s">
        <v>117</v>
      </c>
      <c r="K56" s="31" t="s">
        <v>380</v>
      </c>
      <c r="L56" s="32">
        <v>5</v>
      </c>
      <c r="M56" s="32" t="s">
        <v>119</v>
      </c>
      <c r="N56" s="31" t="s">
        <v>381</v>
      </c>
    </row>
    <row r="57" spans="2:14" s="17" customFormat="1" ht="58">
      <c r="B57" s="30" t="str">
        <f t="shared" si="0"/>
        <v>OBS-055</v>
      </c>
      <c r="C57" s="30" t="s">
        <v>373</v>
      </c>
      <c r="D57" s="30" t="s">
        <v>374</v>
      </c>
      <c r="E57" s="30" t="s">
        <v>112</v>
      </c>
      <c r="F57" s="30" t="s">
        <v>150</v>
      </c>
      <c r="G57" s="30" t="s">
        <v>151</v>
      </c>
      <c r="H57" s="31" t="s">
        <v>382</v>
      </c>
      <c r="I57" s="31" t="s">
        <v>383</v>
      </c>
      <c r="J57" s="31" t="s">
        <v>132</v>
      </c>
      <c r="K57" s="31" t="s">
        <v>384</v>
      </c>
      <c r="L57" s="32">
        <v>5</v>
      </c>
      <c r="M57" s="32" t="s">
        <v>119</v>
      </c>
      <c r="N57" s="31" t="s">
        <v>385</v>
      </c>
    </row>
    <row r="58" spans="2:14" s="17" customFormat="1" ht="58">
      <c r="B58" s="30" t="str">
        <f t="shared" si="0"/>
        <v>OBS-056</v>
      </c>
      <c r="C58" s="30" t="s">
        <v>373</v>
      </c>
      <c r="D58" s="30" t="s">
        <v>374</v>
      </c>
      <c r="E58" s="30" t="s">
        <v>112</v>
      </c>
      <c r="F58" s="30" t="s">
        <v>355</v>
      </c>
      <c r="G58" s="30" t="s">
        <v>356</v>
      </c>
      <c r="H58" s="31" t="s">
        <v>386</v>
      </c>
      <c r="I58" s="31" t="s">
        <v>387</v>
      </c>
      <c r="J58" s="31" t="s">
        <v>125</v>
      </c>
      <c r="K58" s="31" t="s">
        <v>388</v>
      </c>
      <c r="L58" s="32">
        <v>4</v>
      </c>
      <c r="M58" s="32" t="s">
        <v>119</v>
      </c>
      <c r="N58" s="31" t="s">
        <v>389</v>
      </c>
    </row>
    <row r="59" spans="2:14" s="17" customFormat="1" ht="58">
      <c r="B59" s="30" t="str">
        <f t="shared" si="0"/>
        <v>OBS-057</v>
      </c>
      <c r="C59" s="30" t="s">
        <v>373</v>
      </c>
      <c r="D59" s="30" t="s">
        <v>374</v>
      </c>
      <c r="E59" s="30" t="s">
        <v>112</v>
      </c>
      <c r="F59" s="30" t="s">
        <v>197</v>
      </c>
      <c r="G59" s="30" t="s">
        <v>198</v>
      </c>
      <c r="H59" s="31" t="s">
        <v>390</v>
      </c>
      <c r="I59" s="31" t="s">
        <v>391</v>
      </c>
      <c r="J59" s="31" t="s">
        <v>125</v>
      </c>
      <c r="K59" s="31" t="s">
        <v>392</v>
      </c>
      <c r="L59" s="32">
        <v>5</v>
      </c>
      <c r="M59" s="32" t="s">
        <v>119</v>
      </c>
      <c r="N59" s="31" t="s">
        <v>393</v>
      </c>
    </row>
    <row r="60" spans="2:14" s="17" customFormat="1" ht="43.5">
      <c r="B60" s="30" t="str">
        <f t="shared" si="0"/>
        <v>OBS-058</v>
      </c>
      <c r="C60" s="30" t="s">
        <v>373</v>
      </c>
      <c r="D60" s="30" t="s">
        <v>374</v>
      </c>
      <c r="E60" s="30" t="s">
        <v>112</v>
      </c>
      <c r="F60" s="30" t="s">
        <v>217</v>
      </c>
      <c r="G60" s="30" t="s">
        <v>218</v>
      </c>
      <c r="H60" s="31" t="s">
        <v>394</v>
      </c>
      <c r="I60" s="31" t="s">
        <v>395</v>
      </c>
      <c r="J60" s="31" t="s">
        <v>147</v>
      </c>
      <c r="K60" s="31" t="s">
        <v>396</v>
      </c>
      <c r="L60" s="32">
        <v>4</v>
      </c>
      <c r="M60" s="32" t="s">
        <v>142</v>
      </c>
      <c r="N60" s="31" t="s">
        <v>397</v>
      </c>
    </row>
    <row r="61" spans="2:14" s="17" customFormat="1" ht="43.5">
      <c r="B61" s="30" t="str">
        <f t="shared" si="0"/>
        <v>OBS-059</v>
      </c>
      <c r="C61" s="30" t="s">
        <v>373</v>
      </c>
      <c r="D61" s="30" t="s">
        <v>374</v>
      </c>
      <c r="E61" s="30" t="s">
        <v>112</v>
      </c>
      <c r="F61" s="30" t="s">
        <v>289</v>
      </c>
      <c r="G61" s="30" t="s">
        <v>290</v>
      </c>
      <c r="H61" s="31" t="s">
        <v>398</v>
      </c>
      <c r="I61" s="31" t="s">
        <v>399</v>
      </c>
      <c r="J61" s="31" t="s">
        <v>125</v>
      </c>
      <c r="K61" s="31" t="s">
        <v>400</v>
      </c>
      <c r="L61" s="32">
        <v>5</v>
      </c>
      <c r="M61" s="32" t="s">
        <v>119</v>
      </c>
      <c r="N61" s="31" t="s">
        <v>401</v>
      </c>
    </row>
    <row r="62" spans="2:14" s="17" customFormat="1" ht="58">
      <c r="B62" s="30" t="str">
        <f t="shared" si="0"/>
        <v>OBS-060</v>
      </c>
      <c r="C62" s="30" t="s">
        <v>373</v>
      </c>
      <c r="D62" s="30" t="s">
        <v>374</v>
      </c>
      <c r="E62" s="30" t="s">
        <v>112</v>
      </c>
      <c r="F62" s="30" t="s">
        <v>289</v>
      </c>
      <c r="G62" s="30" t="s">
        <v>290</v>
      </c>
      <c r="H62" s="31" t="s">
        <v>402</v>
      </c>
      <c r="I62" s="31" t="s">
        <v>403</v>
      </c>
      <c r="J62" s="31" t="s">
        <v>132</v>
      </c>
      <c r="K62" s="31" t="s">
        <v>404</v>
      </c>
      <c r="L62" s="32">
        <v>5</v>
      </c>
      <c r="M62" s="32" t="s">
        <v>119</v>
      </c>
      <c r="N62" s="31" t="s">
        <v>405</v>
      </c>
    </row>
    <row r="63" spans="2:14" s="17" customFormat="1" ht="43.5">
      <c r="B63" s="30" t="str">
        <f t="shared" si="0"/>
        <v>OBS-061</v>
      </c>
      <c r="C63" s="30" t="s">
        <v>373</v>
      </c>
      <c r="D63" s="30" t="s">
        <v>374</v>
      </c>
      <c r="E63" s="30" t="s">
        <v>112</v>
      </c>
      <c r="F63" s="30" t="s">
        <v>329</v>
      </c>
      <c r="G63" s="30" t="s">
        <v>330</v>
      </c>
      <c r="H63" s="31" t="s">
        <v>406</v>
      </c>
      <c r="I63" s="31" t="s">
        <v>407</v>
      </c>
      <c r="J63" s="31" t="s">
        <v>125</v>
      </c>
      <c r="K63" s="31" t="s">
        <v>408</v>
      </c>
      <c r="L63" s="32">
        <v>5</v>
      </c>
      <c r="M63" s="32" t="s">
        <v>119</v>
      </c>
      <c r="N63" s="31" t="s">
        <v>409</v>
      </c>
    </row>
    <row r="64" spans="2:14" s="17" customFormat="1" ht="43.5">
      <c r="B64" s="30" t="str">
        <f t="shared" si="0"/>
        <v>OBS-062</v>
      </c>
      <c r="C64" s="30" t="s">
        <v>373</v>
      </c>
      <c r="D64" s="30" t="s">
        <v>374</v>
      </c>
      <c r="E64" s="30" t="s">
        <v>112</v>
      </c>
      <c r="F64" s="30" t="s">
        <v>315</v>
      </c>
      <c r="G64" s="30" t="s">
        <v>316</v>
      </c>
      <c r="H64" s="31" t="s">
        <v>410</v>
      </c>
      <c r="I64" s="31" t="s">
        <v>411</v>
      </c>
      <c r="J64" s="31" t="s">
        <v>132</v>
      </c>
      <c r="K64" s="31" t="s">
        <v>412</v>
      </c>
      <c r="L64" s="32">
        <v>5</v>
      </c>
      <c r="M64" s="32" t="s">
        <v>119</v>
      </c>
      <c r="N64" s="31" t="s">
        <v>413</v>
      </c>
    </row>
    <row r="65" spans="2:14" s="17" customFormat="1" ht="43.5">
      <c r="B65" s="30" t="str">
        <f t="shared" si="0"/>
        <v>OBS-063</v>
      </c>
      <c r="C65" s="30" t="s">
        <v>373</v>
      </c>
      <c r="D65" s="30" t="s">
        <v>374</v>
      </c>
      <c r="E65" s="30" t="s">
        <v>112</v>
      </c>
      <c r="F65" s="30" t="s">
        <v>315</v>
      </c>
      <c r="G65" s="30" t="s">
        <v>316</v>
      </c>
      <c r="H65" s="31" t="s">
        <v>414</v>
      </c>
      <c r="I65" s="31" t="s">
        <v>415</v>
      </c>
      <c r="J65" s="31" t="s">
        <v>125</v>
      </c>
      <c r="K65" s="31" t="s">
        <v>416</v>
      </c>
      <c r="L65" s="32">
        <v>5</v>
      </c>
      <c r="M65" s="32" t="s">
        <v>119</v>
      </c>
      <c r="N65" s="31" t="s">
        <v>417</v>
      </c>
    </row>
    <row r="66" spans="2:14" s="17" customFormat="1" ht="58">
      <c r="B66" s="30" t="str">
        <f t="shared" si="0"/>
        <v>OBS-064</v>
      </c>
      <c r="C66" s="30" t="s">
        <v>373</v>
      </c>
      <c r="D66" s="30" t="s">
        <v>374</v>
      </c>
      <c r="E66" s="30" t="s">
        <v>112</v>
      </c>
      <c r="F66" s="30" t="s">
        <v>113</v>
      </c>
      <c r="G66" s="30" t="s">
        <v>166</v>
      </c>
      <c r="H66" s="31" t="s">
        <v>418</v>
      </c>
      <c r="I66" s="31" t="s">
        <v>419</v>
      </c>
      <c r="J66" s="31" t="s">
        <v>125</v>
      </c>
      <c r="K66" s="31" t="s">
        <v>420</v>
      </c>
      <c r="L66" s="32">
        <v>5</v>
      </c>
      <c r="M66" s="32" t="s">
        <v>119</v>
      </c>
      <c r="N66" s="31" t="s">
        <v>421</v>
      </c>
    </row>
    <row r="67" spans="2:14" s="17" customFormat="1" ht="58">
      <c r="B67" s="30" t="str">
        <f t="shared" si="0"/>
        <v>OBS-065</v>
      </c>
      <c r="C67" s="30" t="s">
        <v>373</v>
      </c>
      <c r="D67" s="30" t="s">
        <v>374</v>
      </c>
      <c r="E67" s="30" t="s">
        <v>112</v>
      </c>
      <c r="F67" s="30" t="s">
        <v>422</v>
      </c>
      <c r="G67" s="30" t="s">
        <v>423</v>
      </c>
      <c r="H67" s="31" t="s">
        <v>424</v>
      </c>
      <c r="I67" s="31" t="s">
        <v>425</v>
      </c>
      <c r="J67" s="31" t="s">
        <v>125</v>
      </c>
      <c r="K67" s="31" t="s">
        <v>426</v>
      </c>
      <c r="L67" s="32">
        <v>4</v>
      </c>
      <c r="M67" s="32" t="s">
        <v>119</v>
      </c>
      <c r="N67" s="31" t="s">
        <v>427</v>
      </c>
    </row>
    <row r="68" spans="2:14" s="17" customFormat="1" ht="43.5">
      <c r="B68" s="30" t="str">
        <f t="shared" ref="B68:B131" si="1">IF(C68="","","OBS-"&amp;TEXT(ROW()-2,"000"))</f>
        <v>OBS-066</v>
      </c>
      <c r="C68" s="30" t="s">
        <v>373</v>
      </c>
      <c r="D68" s="30" t="s">
        <v>374</v>
      </c>
      <c r="E68" s="30" t="s">
        <v>112</v>
      </c>
      <c r="F68" s="30" t="s">
        <v>339</v>
      </c>
      <c r="G68" s="30" t="s">
        <v>198</v>
      </c>
      <c r="H68" s="31" t="s">
        <v>428</v>
      </c>
      <c r="I68" s="31" t="s">
        <v>429</v>
      </c>
      <c r="J68" s="31" t="s">
        <v>125</v>
      </c>
      <c r="K68" s="31" t="s">
        <v>430</v>
      </c>
      <c r="L68" s="32">
        <v>5</v>
      </c>
      <c r="M68" s="32" t="s">
        <v>119</v>
      </c>
      <c r="N68" s="31" t="s">
        <v>431</v>
      </c>
    </row>
    <row r="69" spans="2:14" s="17" customFormat="1" ht="43.5">
      <c r="B69" s="30" t="str">
        <f t="shared" si="1"/>
        <v>OBS-067</v>
      </c>
      <c r="C69" s="30" t="s">
        <v>373</v>
      </c>
      <c r="D69" s="30" t="s">
        <v>374</v>
      </c>
      <c r="E69" s="30" t="s">
        <v>112</v>
      </c>
      <c r="F69" s="30" t="s">
        <v>344</v>
      </c>
      <c r="G69" s="30" t="s">
        <v>198</v>
      </c>
      <c r="H69" s="31" t="s">
        <v>432</v>
      </c>
      <c r="I69" s="31" t="s">
        <v>433</v>
      </c>
      <c r="J69" s="31" t="s">
        <v>125</v>
      </c>
      <c r="K69" s="31" t="s">
        <v>434</v>
      </c>
      <c r="L69" s="32">
        <v>4</v>
      </c>
      <c r="M69" s="32" t="s">
        <v>119</v>
      </c>
      <c r="N69" s="31" t="s">
        <v>435</v>
      </c>
    </row>
    <row r="70" spans="2:14" s="17" customFormat="1" ht="58">
      <c r="B70" s="30" t="str">
        <f t="shared" si="1"/>
        <v>OBS-068</v>
      </c>
      <c r="C70" s="30" t="s">
        <v>373</v>
      </c>
      <c r="D70" s="30" t="s">
        <v>374</v>
      </c>
      <c r="E70" s="30" t="s">
        <v>112</v>
      </c>
      <c r="F70" s="30" t="s">
        <v>113</v>
      </c>
      <c r="G70" s="30" t="s">
        <v>114</v>
      </c>
      <c r="H70" s="31" t="s">
        <v>436</v>
      </c>
      <c r="I70" s="31" t="s">
        <v>437</v>
      </c>
      <c r="J70" s="31" t="s">
        <v>125</v>
      </c>
      <c r="K70" s="31" t="s">
        <v>438</v>
      </c>
      <c r="L70" s="32">
        <v>4</v>
      </c>
      <c r="M70" s="32" t="s">
        <v>119</v>
      </c>
      <c r="N70" s="31" t="s">
        <v>439</v>
      </c>
    </row>
    <row r="71" spans="2:14" s="17" customFormat="1" ht="58">
      <c r="B71" s="30" t="str">
        <f t="shared" si="1"/>
        <v>OBS-069</v>
      </c>
      <c r="C71" s="30" t="s">
        <v>373</v>
      </c>
      <c r="D71" s="30" t="s">
        <v>374</v>
      </c>
      <c r="E71" s="30" t="s">
        <v>112</v>
      </c>
      <c r="F71" s="30" t="s">
        <v>236</v>
      </c>
      <c r="G71" s="30" t="s">
        <v>237</v>
      </c>
      <c r="H71" s="31" t="s">
        <v>440</v>
      </c>
      <c r="I71" s="31" t="s">
        <v>441</v>
      </c>
      <c r="J71" s="31" t="s">
        <v>147</v>
      </c>
      <c r="K71" s="31" t="s">
        <v>442</v>
      </c>
      <c r="L71" s="32">
        <v>4</v>
      </c>
      <c r="M71" s="32" t="s">
        <v>142</v>
      </c>
      <c r="N71" s="31" t="s">
        <v>443</v>
      </c>
    </row>
    <row r="72" spans="2:14" s="17" customFormat="1" ht="58">
      <c r="B72" s="30" t="str">
        <f t="shared" si="1"/>
        <v>OBS-070</v>
      </c>
      <c r="C72" s="30" t="s">
        <v>373</v>
      </c>
      <c r="D72" s="30" t="s">
        <v>374</v>
      </c>
      <c r="E72" s="30" t="s">
        <v>112</v>
      </c>
      <c r="F72" s="30"/>
      <c r="G72" s="30" t="s">
        <v>144</v>
      </c>
      <c r="H72" s="31" t="s">
        <v>444</v>
      </c>
      <c r="I72" s="31" t="s">
        <v>445</v>
      </c>
      <c r="J72" s="31" t="s">
        <v>147</v>
      </c>
      <c r="K72" s="31" t="s">
        <v>446</v>
      </c>
      <c r="L72" s="32">
        <v>3</v>
      </c>
      <c r="M72" s="32" t="s">
        <v>142</v>
      </c>
      <c r="N72" s="31" t="s">
        <v>447</v>
      </c>
    </row>
    <row r="73" spans="2:14" s="17" customFormat="1" ht="58">
      <c r="B73" s="30" t="str">
        <f t="shared" si="1"/>
        <v>OBS-071</v>
      </c>
      <c r="C73" s="30" t="s">
        <v>448</v>
      </c>
      <c r="D73" s="30" t="s">
        <v>449</v>
      </c>
      <c r="E73" s="30" t="s">
        <v>112</v>
      </c>
      <c r="F73" s="30"/>
      <c r="G73" s="30" t="s">
        <v>144</v>
      </c>
      <c r="H73" s="31" t="s">
        <v>450</v>
      </c>
      <c r="I73" s="31" t="s">
        <v>451</v>
      </c>
      <c r="J73" s="31" t="s">
        <v>147</v>
      </c>
      <c r="K73" s="31" t="s">
        <v>452</v>
      </c>
      <c r="L73" s="32">
        <v>4</v>
      </c>
      <c r="M73" s="32" t="s">
        <v>142</v>
      </c>
      <c r="N73" s="31" t="s">
        <v>453</v>
      </c>
    </row>
    <row r="74" spans="2:14" s="17" customFormat="1" ht="58">
      <c r="B74" s="30" t="str">
        <f t="shared" si="1"/>
        <v>OBS-072</v>
      </c>
      <c r="C74" s="30" t="s">
        <v>448</v>
      </c>
      <c r="D74" s="30" t="s">
        <v>449</v>
      </c>
      <c r="E74" s="30" t="s">
        <v>112</v>
      </c>
      <c r="F74" s="30" t="s">
        <v>339</v>
      </c>
      <c r="G74" s="30" t="s">
        <v>198</v>
      </c>
      <c r="H74" s="31" t="s">
        <v>454</v>
      </c>
      <c r="I74" s="31" t="s">
        <v>455</v>
      </c>
      <c r="J74" s="31" t="s">
        <v>132</v>
      </c>
      <c r="K74" s="31" t="s">
        <v>456</v>
      </c>
      <c r="L74" s="32">
        <v>5</v>
      </c>
      <c r="M74" s="32" t="s">
        <v>119</v>
      </c>
      <c r="N74" s="31" t="s">
        <v>457</v>
      </c>
    </row>
    <row r="75" spans="2:14" s="17" customFormat="1" ht="58">
      <c r="B75" s="30" t="str">
        <f t="shared" si="1"/>
        <v>OBS-073</v>
      </c>
      <c r="C75" s="30" t="s">
        <v>448</v>
      </c>
      <c r="D75" s="30" t="s">
        <v>449</v>
      </c>
      <c r="E75" s="30" t="s">
        <v>112</v>
      </c>
      <c r="F75" s="30" t="s">
        <v>339</v>
      </c>
      <c r="G75" s="30" t="s">
        <v>198</v>
      </c>
      <c r="H75" s="31" t="s">
        <v>458</v>
      </c>
      <c r="I75" s="31" t="s">
        <v>459</v>
      </c>
      <c r="J75" s="31" t="s">
        <v>125</v>
      </c>
      <c r="K75" s="31" t="s">
        <v>460</v>
      </c>
      <c r="L75" s="32">
        <v>5</v>
      </c>
      <c r="M75" s="32" t="s">
        <v>119</v>
      </c>
      <c r="N75" s="31" t="s">
        <v>461</v>
      </c>
    </row>
    <row r="76" spans="2:14" s="17" customFormat="1" ht="58">
      <c r="B76" s="30" t="str">
        <f t="shared" si="1"/>
        <v>OBS-074</v>
      </c>
      <c r="C76" s="30" t="s">
        <v>448</v>
      </c>
      <c r="D76" s="30" t="s">
        <v>449</v>
      </c>
      <c r="E76" s="30" t="s">
        <v>112</v>
      </c>
      <c r="F76" s="30" t="s">
        <v>197</v>
      </c>
      <c r="G76" s="30" t="s">
        <v>198</v>
      </c>
      <c r="H76" s="31" t="s">
        <v>462</v>
      </c>
      <c r="I76" s="31" t="s">
        <v>463</v>
      </c>
      <c r="J76" s="31" t="s">
        <v>132</v>
      </c>
      <c r="K76" s="31" t="s">
        <v>464</v>
      </c>
      <c r="L76" s="32">
        <v>5</v>
      </c>
      <c r="M76" s="32" t="s">
        <v>119</v>
      </c>
      <c r="N76" s="31" t="s">
        <v>465</v>
      </c>
    </row>
    <row r="77" spans="2:14" s="17" customFormat="1" ht="58">
      <c r="B77" s="30" t="str">
        <f t="shared" si="1"/>
        <v>OBS-075</v>
      </c>
      <c r="C77" s="30" t="s">
        <v>448</v>
      </c>
      <c r="D77" s="30" t="s">
        <v>449</v>
      </c>
      <c r="E77" s="30" t="s">
        <v>112</v>
      </c>
      <c r="F77" s="30" t="s">
        <v>197</v>
      </c>
      <c r="G77" s="30" t="s">
        <v>198</v>
      </c>
      <c r="H77" s="31" t="s">
        <v>466</v>
      </c>
      <c r="I77" s="31" t="s">
        <v>467</v>
      </c>
      <c r="J77" s="31" t="s">
        <v>125</v>
      </c>
      <c r="K77" s="31" t="s">
        <v>468</v>
      </c>
      <c r="L77" s="32">
        <v>5</v>
      </c>
      <c r="M77" s="32" t="s">
        <v>119</v>
      </c>
      <c r="N77" s="31" t="s">
        <v>469</v>
      </c>
    </row>
    <row r="78" spans="2:14" s="17" customFormat="1" ht="58">
      <c r="B78" s="30" t="str">
        <f t="shared" si="1"/>
        <v>OBS-076</v>
      </c>
      <c r="C78" s="30" t="s">
        <v>448</v>
      </c>
      <c r="D78" s="30" t="s">
        <v>449</v>
      </c>
      <c r="E78" s="30" t="s">
        <v>112</v>
      </c>
      <c r="F78" s="30" t="s">
        <v>197</v>
      </c>
      <c r="G78" s="30" t="s">
        <v>198</v>
      </c>
      <c r="H78" s="31" t="s">
        <v>470</v>
      </c>
      <c r="I78" s="31" t="s">
        <v>471</v>
      </c>
      <c r="J78" s="31" t="s">
        <v>125</v>
      </c>
      <c r="K78" s="31" t="s">
        <v>472</v>
      </c>
      <c r="L78" s="32">
        <v>4</v>
      </c>
      <c r="M78" s="32" t="s">
        <v>119</v>
      </c>
      <c r="N78" s="31" t="s">
        <v>473</v>
      </c>
    </row>
    <row r="79" spans="2:14" s="17" customFormat="1" ht="58">
      <c r="B79" s="30" t="str">
        <f t="shared" si="1"/>
        <v>OBS-077</v>
      </c>
      <c r="C79" s="30" t="s">
        <v>448</v>
      </c>
      <c r="D79" s="30" t="s">
        <v>449</v>
      </c>
      <c r="E79" s="30" t="s">
        <v>112</v>
      </c>
      <c r="F79" s="30" t="s">
        <v>474</v>
      </c>
      <c r="G79" s="30" t="s">
        <v>475</v>
      </c>
      <c r="H79" s="31" t="s">
        <v>476</v>
      </c>
      <c r="I79" s="31" t="s">
        <v>477</v>
      </c>
      <c r="J79" s="31" t="s">
        <v>125</v>
      </c>
      <c r="K79" s="31" t="s">
        <v>478</v>
      </c>
      <c r="L79" s="32">
        <v>5</v>
      </c>
      <c r="M79" s="32" t="s">
        <v>119</v>
      </c>
      <c r="N79" s="31" t="s">
        <v>479</v>
      </c>
    </row>
    <row r="80" spans="2:14" s="17" customFormat="1" ht="58">
      <c r="B80" s="30" t="str">
        <f t="shared" si="1"/>
        <v>OBS-078</v>
      </c>
      <c r="C80" s="30" t="s">
        <v>448</v>
      </c>
      <c r="D80" s="30" t="s">
        <v>449</v>
      </c>
      <c r="E80" s="30" t="s">
        <v>112</v>
      </c>
      <c r="F80" s="30" t="s">
        <v>474</v>
      </c>
      <c r="G80" s="30" t="s">
        <v>475</v>
      </c>
      <c r="H80" s="31" t="s">
        <v>480</v>
      </c>
      <c r="I80" s="31" t="s">
        <v>481</v>
      </c>
      <c r="J80" s="31" t="s">
        <v>125</v>
      </c>
      <c r="K80" s="31" t="s">
        <v>482</v>
      </c>
      <c r="L80" s="32">
        <v>5</v>
      </c>
      <c r="M80" s="32" t="s">
        <v>119</v>
      </c>
      <c r="N80" s="31" t="s">
        <v>483</v>
      </c>
    </row>
    <row r="81" spans="2:14" s="17" customFormat="1" ht="72.5">
      <c r="B81" s="30" t="str">
        <f t="shared" si="1"/>
        <v>OBS-079</v>
      </c>
      <c r="C81" s="30" t="s">
        <v>448</v>
      </c>
      <c r="D81" s="30" t="s">
        <v>449</v>
      </c>
      <c r="E81" s="30" t="s">
        <v>112</v>
      </c>
      <c r="F81" s="30" t="s">
        <v>484</v>
      </c>
      <c r="G81" s="30" t="s">
        <v>485</v>
      </c>
      <c r="H81" s="31" t="s">
        <v>486</v>
      </c>
      <c r="I81" s="31" t="s">
        <v>487</v>
      </c>
      <c r="J81" s="31" t="s">
        <v>132</v>
      </c>
      <c r="K81" s="31" t="s">
        <v>488</v>
      </c>
      <c r="L81" s="32">
        <v>5</v>
      </c>
      <c r="M81" s="32" t="s">
        <v>119</v>
      </c>
      <c r="N81" s="31" t="s">
        <v>489</v>
      </c>
    </row>
    <row r="82" spans="2:14" s="17" customFormat="1" ht="43.5">
      <c r="B82" s="30" t="str">
        <f t="shared" si="1"/>
        <v>OBS-080</v>
      </c>
      <c r="C82" s="30" t="s">
        <v>448</v>
      </c>
      <c r="D82" s="30" t="s">
        <v>449</v>
      </c>
      <c r="E82" s="30" t="s">
        <v>112</v>
      </c>
      <c r="F82" s="30" t="s">
        <v>490</v>
      </c>
      <c r="G82" s="30" t="s">
        <v>491</v>
      </c>
      <c r="H82" s="31" t="s">
        <v>492</v>
      </c>
      <c r="I82" s="31" t="s">
        <v>493</v>
      </c>
      <c r="J82" s="31" t="s">
        <v>125</v>
      </c>
      <c r="K82" s="31" t="s">
        <v>494</v>
      </c>
      <c r="L82" s="32">
        <v>5</v>
      </c>
      <c r="M82" s="32" t="s">
        <v>119</v>
      </c>
      <c r="N82" s="31" t="s">
        <v>495</v>
      </c>
    </row>
    <row r="83" spans="2:14" s="17" customFormat="1" ht="72.5">
      <c r="B83" s="30" t="str">
        <f t="shared" si="1"/>
        <v>OBS-081</v>
      </c>
      <c r="C83" s="30" t="s">
        <v>448</v>
      </c>
      <c r="D83" s="30" t="s">
        <v>449</v>
      </c>
      <c r="E83" s="30" t="s">
        <v>112</v>
      </c>
      <c r="F83" s="30" t="s">
        <v>496</v>
      </c>
      <c r="G83" s="30" t="s">
        <v>350</v>
      </c>
      <c r="H83" s="31" t="s">
        <v>497</v>
      </c>
      <c r="I83" s="31" t="s">
        <v>498</v>
      </c>
      <c r="J83" s="31" t="s">
        <v>147</v>
      </c>
      <c r="K83" s="31" t="s">
        <v>499</v>
      </c>
      <c r="L83" s="32">
        <v>5</v>
      </c>
      <c r="M83" s="32" t="s">
        <v>119</v>
      </c>
      <c r="N83" s="31" t="s">
        <v>500</v>
      </c>
    </row>
    <row r="84" spans="2:14" s="17" customFormat="1" ht="58">
      <c r="B84" s="30" t="str">
        <f t="shared" si="1"/>
        <v>OBS-082</v>
      </c>
      <c r="C84" s="30" t="s">
        <v>448</v>
      </c>
      <c r="D84" s="30" t="s">
        <v>449</v>
      </c>
      <c r="E84" s="30" t="s">
        <v>112</v>
      </c>
      <c r="F84" s="30" t="s">
        <v>113</v>
      </c>
      <c r="G84" s="30" t="s">
        <v>166</v>
      </c>
      <c r="H84" s="31" t="s">
        <v>501</v>
      </c>
      <c r="I84" s="31" t="s">
        <v>502</v>
      </c>
      <c r="J84" s="31" t="s">
        <v>125</v>
      </c>
      <c r="K84" s="31" t="s">
        <v>503</v>
      </c>
      <c r="L84" s="32">
        <v>5</v>
      </c>
      <c r="M84" s="32" t="s">
        <v>119</v>
      </c>
      <c r="N84" s="31" t="s">
        <v>504</v>
      </c>
    </row>
    <row r="85" spans="2:14" s="17" customFormat="1" ht="58">
      <c r="B85" s="30" t="str">
        <f t="shared" si="1"/>
        <v>OBS-083</v>
      </c>
      <c r="C85" s="30" t="s">
        <v>448</v>
      </c>
      <c r="D85" s="30" t="s">
        <v>449</v>
      </c>
      <c r="E85" s="30" t="s">
        <v>112</v>
      </c>
      <c r="F85" s="30" t="s">
        <v>113</v>
      </c>
      <c r="G85" s="30" t="s">
        <v>114</v>
      </c>
      <c r="H85" s="31" t="s">
        <v>505</v>
      </c>
      <c r="I85" s="31" t="s">
        <v>506</v>
      </c>
      <c r="J85" s="31" t="s">
        <v>125</v>
      </c>
      <c r="K85" s="31" t="s">
        <v>507</v>
      </c>
      <c r="L85" s="32">
        <v>4</v>
      </c>
      <c r="M85" s="32" t="s">
        <v>119</v>
      </c>
      <c r="N85" s="31" t="s">
        <v>508</v>
      </c>
    </row>
    <row r="86" spans="2:14" s="17" customFormat="1" ht="58">
      <c r="B86" s="30" t="str">
        <f t="shared" si="1"/>
        <v>OBS-084</v>
      </c>
      <c r="C86" s="30" t="s">
        <v>448</v>
      </c>
      <c r="D86" s="30" t="s">
        <v>449</v>
      </c>
      <c r="E86" s="30" t="s">
        <v>112</v>
      </c>
      <c r="F86" s="30" t="s">
        <v>355</v>
      </c>
      <c r="G86" s="30" t="s">
        <v>356</v>
      </c>
      <c r="H86" s="31" t="s">
        <v>509</v>
      </c>
      <c r="I86" s="31" t="s">
        <v>510</v>
      </c>
      <c r="J86" s="31" t="s">
        <v>125</v>
      </c>
      <c r="K86" s="31" t="s">
        <v>511</v>
      </c>
      <c r="L86" s="32">
        <v>4</v>
      </c>
      <c r="M86" s="32" t="s">
        <v>119</v>
      </c>
      <c r="N86" s="31" t="s">
        <v>512</v>
      </c>
    </row>
    <row r="87" spans="2:14" s="17" customFormat="1" ht="58">
      <c r="B87" s="30" t="str">
        <f t="shared" si="1"/>
        <v>OBS-085</v>
      </c>
      <c r="C87" s="30" t="s">
        <v>448</v>
      </c>
      <c r="D87" s="30" t="s">
        <v>449</v>
      </c>
      <c r="E87" s="30" t="s">
        <v>112</v>
      </c>
      <c r="F87" s="30"/>
      <c r="G87" s="30" t="s">
        <v>144</v>
      </c>
      <c r="H87" s="31" t="s">
        <v>513</v>
      </c>
      <c r="I87" s="31" t="s">
        <v>514</v>
      </c>
      <c r="J87" s="31" t="s">
        <v>147</v>
      </c>
      <c r="K87" s="31" t="s">
        <v>515</v>
      </c>
      <c r="L87" s="32">
        <v>4</v>
      </c>
      <c r="M87" s="32" t="s">
        <v>119</v>
      </c>
      <c r="N87" s="31" t="s">
        <v>516</v>
      </c>
    </row>
    <row r="88" spans="2:14" s="17" customFormat="1" ht="58">
      <c r="B88" s="30" t="str">
        <f t="shared" si="1"/>
        <v>OBS-086</v>
      </c>
      <c r="C88" s="30" t="s">
        <v>517</v>
      </c>
      <c r="D88" s="30" t="s">
        <v>518</v>
      </c>
      <c r="E88" s="30" t="s">
        <v>519</v>
      </c>
      <c r="F88" s="30"/>
      <c r="G88" s="30" t="s">
        <v>144</v>
      </c>
      <c r="H88" s="31" t="s">
        <v>520</v>
      </c>
      <c r="I88" s="31" t="s">
        <v>521</v>
      </c>
      <c r="J88" s="31" t="s">
        <v>147</v>
      </c>
      <c r="K88" s="31" t="s">
        <v>522</v>
      </c>
      <c r="L88" s="32">
        <v>5</v>
      </c>
      <c r="M88" s="32" t="s">
        <v>119</v>
      </c>
      <c r="N88" s="31" t="s">
        <v>523</v>
      </c>
    </row>
    <row r="89" spans="2:14" s="17" customFormat="1" ht="58">
      <c r="B89" s="30" t="str">
        <f t="shared" si="1"/>
        <v>OBS-087</v>
      </c>
      <c r="C89" s="30" t="s">
        <v>517</v>
      </c>
      <c r="D89" s="30" t="s">
        <v>518</v>
      </c>
      <c r="E89" s="30" t="s">
        <v>519</v>
      </c>
      <c r="F89" s="30"/>
      <c r="G89" s="30" t="s">
        <v>144</v>
      </c>
      <c r="H89" s="31" t="s">
        <v>524</v>
      </c>
      <c r="I89" s="31" t="s">
        <v>525</v>
      </c>
      <c r="J89" s="31" t="s">
        <v>147</v>
      </c>
      <c r="K89" s="31" t="s">
        <v>526</v>
      </c>
      <c r="L89" s="32">
        <v>4</v>
      </c>
      <c r="M89" s="32" t="s">
        <v>119</v>
      </c>
      <c r="N89" s="31" t="s">
        <v>527</v>
      </c>
    </row>
    <row r="90" spans="2:14" s="17" customFormat="1" ht="58">
      <c r="B90" s="30" t="str">
        <f t="shared" si="1"/>
        <v>OBS-088</v>
      </c>
      <c r="C90" s="30" t="s">
        <v>517</v>
      </c>
      <c r="D90" s="30" t="s">
        <v>518</v>
      </c>
      <c r="E90" s="30" t="s">
        <v>519</v>
      </c>
      <c r="F90" s="30" t="s">
        <v>329</v>
      </c>
      <c r="G90" s="30" t="s">
        <v>330</v>
      </c>
      <c r="H90" s="31" t="s">
        <v>528</v>
      </c>
      <c r="I90" s="31" t="s">
        <v>529</v>
      </c>
      <c r="J90" s="31" t="s">
        <v>125</v>
      </c>
      <c r="K90" s="31" t="s">
        <v>530</v>
      </c>
      <c r="L90" s="32">
        <v>5</v>
      </c>
      <c r="M90" s="32" t="s">
        <v>119</v>
      </c>
      <c r="N90" s="31" t="s">
        <v>531</v>
      </c>
    </row>
    <row r="91" spans="2:14" s="17" customFormat="1" ht="58">
      <c r="B91" s="30" t="str">
        <f t="shared" si="1"/>
        <v>OBS-089</v>
      </c>
      <c r="C91" s="30" t="s">
        <v>517</v>
      </c>
      <c r="D91" s="30" t="s">
        <v>518</v>
      </c>
      <c r="E91" s="30" t="s">
        <v>519</v>
      </c>
      <c r="F91" s="30" t="s">
        <v>289</v>
      </c>
      <c r="G91" s="30" t="s">
        <v>290</v>
      </c>
      <c r="H91" s="31" t="s">
        <v>532</v>
      </c>
      <c r="I91" s="31" t="s">
        <v>533</v>
      </c>
      <c r="J91" s="31" t="s">
        <v>125</v>
      </c>
      <c r="K91" s="31" t="s">
        <v>534</v>
      </c>
      <c r="L91" s="32">
        <v>5</v>
      </c>
      <c r="M91" s="32" t="s">
        <v>119</v>
      </c>
      <c r="N91" s="31" t="s">
        <v>535</v>
      </c>
    </row>
    <row r="92" spans="2:14" s="17" customFormat="1" ht="58">
      <c r="B92" s="30" t="str">
        <f t="shared" si="1"/>
        <v>OBS-090</v>
      </c>
      <c r="C92" s="30" t="s">
        <v>517</v>
      </c>
      <c r="D92" s="30" t="s">
        <v>518</v>
      </c>
      <c r="E92" s="30" t="s">
        <v>519</v>
      </c>
      <c r="F92" s="30" t="s">
        <v>113</v>
      </c>
      <c r="G92" s="30" t="s">
        <v>114</v>
      </c>
      <c r="H92" s="31" t="s">
        <v>536</v>
      </c>
      <c r="I92" s="31" t="s">
        <v>537</v>
      </c>
      <c r="J92" s="31" t="s">
        <v>132</v>
      </c>
      <c r="K92" s="31" t="s">
        <v>538</v>
      </c>
      <c r="L92" s="32">
        <v>5</v>
      </c>
      <c r="M92" s="32" t="s">
        <v>119</v>
      </c>
      <c r="N92" s="31" t="s">
        <v>539</v>
      </c>
    </row>
    <row r="93" spans="2:14" s="17" customFormat="1" ht="58">
      <c r="B93" s="30" t="str">
        <f t="shared" si="1"/>
        <v>OBS-091</v>
      </c>
      <c r="C93" s="30" t="s">
        <v>517</v>
      </c>
      <c r="D93" s="30" t="s">
        <v>518</v>
      </c>
      <c r="E93" s="30" t="s">
        <v>519</v>
      </c>
      <c r="F93" s="30" t="s">
        <v>150</v>
      </c>
      <c r="G93" s="30" t="s">
        <v>151</v>
      </c>
      <c r="H93" s="31" t="s">
        <v>540</v>
      </c>
      <c r="I93" s="31" t="s">
        <v>541</v>
      </c>
      <c r="J93" s="31" t="s">
        <v>132</v>
      </c>
      <c r="K93" s="31" t="s">
        <v>542</v>
      </c>
      <c r="L93" s="32">
        <v>5</v>
      </c>
      <c r="M93" s="32" t="s">
        <v>119</v>
      </c>
      <c r="N93" s="31" t="s">
        <v>543</v>
      </c>
    </row>
    <row r="94" spans="2:14" s="17" customFormat="1" ht="72.5">
      <c r="B94" s="30" t="str">
        <f t="shared" si="1"/>
        <v>OBS-092</v>
      </c>
      <c r="C94" s="30" t="s">
        <v>517</v>
      </c>
      <c r="D94" s="30" t="s">
        <v>518</v>
      </c>
      <c r="E94" s="30" t="s">
        <v>519</v>
      </c>
      <c r="F94" s="30" t="s">
        <v>254</v>
      </c>
      <c r="G94" s="30" t="s">
        <v>255</v>
      </c>
      <c r="H94" s="31" t="s">
        <v>544</v>
      </c>
      <c r="I94" s="31" t="s">
        <v>545</v>
      </c>
      <c r="J94" s="31" t="s">
        <v>132</v>
      </c>
      <c r="K94" s="31" t="s">
        <v>546</v>
      </c>
      <c r="L94" s="32">
        <v>5</v>
      </c>
      <c r="M94" s="32" t="s">
        <v>119</v>
      </c>
      <c r="N94" s="31" t="s">
        <v>547</v>
      </c>
    </row>
    <row r="95" spans="2:14" s="17" customFormat="1" ht="72.5">
      <c r="B95" s="30" t="str">
        <f t="shared" si="1"/>
        <v>OBS-093</v>
      </c>
      <c r="C95" s="30" t="s">
        <v>517</v>
      </c>
      <c r="D95" s="30" t="s">
        <v>518</v>
      </c>
      <c r="E95" s="30" t="s">
        <v>519</v>
      </c>
      <c r="F95" s="30" t="s">
        <v>197</v>
      </c>
      <c r="G95" s="30" t="s">
        <v>198</v>
      </c>
      <c r="H95" s="31" t="s">
        <v>548</v>
      </c>
      <c r="I95" s="31" t="s">
        <v>549</v>
      </c>
      <c r="J95" s="31" t="s">
        <v>125</v>
      </c>
      <c r="K95" s="31" t="s">
        <v>550</v>
      </c>
      <c r="L95" s="32">
        <v>5</v>
      </c>
      <c r="M95" s="32" t="s">
        <v>119</v>
      </c>
      <c r="N95" s="31" t="s">
        <v>551</v>
      </c>
    </row>
    <row r="96" spans="2:14" s="17" customFormat="1" ht="72.5">
      <c r="B96" s="30" t="str">
        <f t="shared" si="1"/>
        <v>OBS-094</v>
      </c>
      <c r="C96" s="30" t="s">
        <v>517</v>
      </c>
      <c r="D96" s="30" t="s">
        <v>518</v>
      </c>
      <c r="E96" s="30" t="s">
        <v>519</v>
      </c>
      <c r="F96" s="30" t="s">
        <v>339</v>
      </c>
      <c r="G96" s="30" t="s">
        <v>198</v>
      </c>
      <c r="H96" s="31" t="s">
        <v>552</v>
      </c>
      <c r="I96" s="31" t="s">
        <v>553</v>
      </c>
      <c r="J96" s="31" t="s">
        <v>125</v>
      </c>
      <c r="K96" s="31" t="s">
        <v>554</v>
      </c>
      <c r="L96" s="32">
        <v>4</v>
      </c>
      <c r="M96" s="32" t="s">
        <v>142</v>
      </c>
      <c r="N96" s="31" t="s">
        <v>555</v>
      </c>
    </row>
    <row r="97" spans="2:14" s="17" customFormat="1" ht="58">
      <c r="B97" s="30" t="str">
        <f t="shared" si="1"/>
        <v>OBS-095</v>
      </c>
      <c r="C97" s="30" t="s">
        <v>517</v>
      </c>
      <c r="D97" s="30" t="s">
        <v>518</v>
      </c>
      <c r="E97" s="30" t="s">
        <v>519</v>
      </c>
      <c r="F97" s="30" t="s">
        <v>128</v>
      </c>
      <c r="G97" s="30" t="s">
        <v>129</v>
      </c>
      <c r="H97" s="31" t="s">
        <v>556</v>
      </c>
      <c r="I97" s="31" t="s">
        <v>557</v>
      </c>
      <c r="J97" s="31" t="s">
        <v>132</v>
      </c>
      <c r="K97" s="31" t="s">
        <v>558</v>
      </c>
      <c r="L97" s="32">
        <v>5</v>
      </c>
      <c r="M97" s="32" t="s">
        <v>119</v>
      </c>
      <c r="N97" s="31" t="s">
        <v>559</v>
      </c>
    </row>
    <row r="98" spans="2:14" s="17" customFormat="1" ht="58">
      <c r="B98" s="30" t="str">
        <f t="shared" si="1"/>
        <v>OBS-096</v>
      </c>
      <c r="C98" s="30" t="s">
        <v>517</v>
      </c>
      <c r="D98" s="30" t="s">
        <v>518</v>
      </c>
      <c r="E98" s="30" t="s">
        <v>519</v>
      </c>
      <c r="F98" s="30" t="s">
        <v>113</v>
      </c>
      <c r="G98" s="30" t="s">
        <v>114</v>
      </c>
      <c r="H98" s="31" t="s">
        <v>560</v>
      </c>
      <c r="I98" s="31" t="s">
        <v>561</v>
      </c>
      <c r="J98" s="31" t="s">
        <v>125</v>
      </c>
      <c r="K98" s="31" t="s">
        <v>562</v>
      </c>
      <c r="L98" s="32">
        <v>5</v>
      </c>
      <c r="M98" s="32" t="s">
        <v>119</v>
      </c>
      <c r="N98" s="31" t="s">
        <v>563</v>
      </c>
    </row>
    <row r="99" spans="2:14" s="17" customFormat="1" ht="58">
      <c r="B99" s="30" t="str">
        <f t="shared" si="1"/>
        <v>OBS-097</v>
      </c>
      <c r="C99" s="30" t="s">
        <v>517</v>
      </c>
      <c r="D99" s="30" t="s">
        <v>518</v>
      </c>
      <c r="E99" s="30" t="s">
        <v>519</v>
      </c>
      <c r="F99" s="30" t="s">
        <v>490</v>
      </c>
      <c r="G99" s="30" t="s">
        <v>491</v>
      </c>
      <c r="H99" s="31" t="s">
        <v>564</v>
      </c>
      <c r="I99" s="31" t="s">
        <v>565</v>
      </c>
      <c r="J99" s="31" t="s">
        <v>147</v>
      </c>
      <c r="K99" s="31" t="s">
        <v>566</v>
      </c>
      <c r="L99" s="32">
        <v>5</v>
      </c>
      <c r="M99" s="32" t="s">
        <v>119</v>
      </c>
      <c r="N99" s="31" t="s">
        <v>567</v>
      </c>
    </row>
    <row r="100" spans="2:14" s="17" customFormat="1">
      <c r="B100" s="17" t="str">
        <f t="shared" si="1"/>
        <v/>
      </c>
      <c r="H100" s="8"/>
      <c r="I100" s="8"/>
      <c r="J100" s="8"/>
      <c r="K100" s="8"/>
      <c r="L100" s="22"/>
      <c r="M100" s="22"/>
      <c r="N100" s="8"/>
    </row>
    <row r="101" spans="2:14" s="17" customFormat="1">
      <c r="B101" s="17" t="str">
        <f t="shared" si="1"/>
        <v/>
      </c>
      <c r="H101" s="8"/>
      <c r="I101" s="8"/>
      <c r="J101" s="8"/>
      <c r="K101" s="8"/>
      <c r="L101" s="22"/>
      <c r="M101" s="22"/>
      <c r="N101" s="8"/>
    </row>
    <row r="102" spans="2:14" s="17" customFormat="1">
      <c r="B102" s="17" t="str">
        <f t="shared" si="1"/>
        <v/>
      </c>
      <c r="H102" s="8"/>
      <c r="I102" s="8"/>
      <c r="J102" s="8"/>
      <c r="K102" s="8"/>
      <c r="L102" s="22"/>
      <c r="M102" s="22"/>
      <c r="N102" s="8"/>
    </row>
    <row r="103" spans="2:14" s="17" customFormat="1">
      <c r="B103" s="17" t="str">
        <f t="shared" si="1"/>
        <v/>
      </c>
      <c r="H103" s="8"/>
      <c r="I103" s="8"/>
      <c r="J103" s="8"/>
      <c r="K103" s="8"/>
      <c r="L103" s="22"/>
      <c r="M103" s="22"/>
      <c r="N103" s="8"/>
    </row>
    <row r="104" spans="2:14" s="17" customFormat="1">
      <c r="B104" s="17" t="str">
        <f t="shared" si="1"/>
        <v/>
      </c>
      <c r="H104" s="8"/>
      <c r="I104" s="8"/>
      <c r="J104" s="8"/>
      <c r="K104" s="8"/>
      <c r="L104" s="22"/>
      <c r="M104" s="22"/>
      <c r="N104" s="8"/>
    </row>
    <row r="105" spans="2:14" s="17" customFormat="1">
      <c r="B105" s="17" t="str">
        <f t="shared" si="1"/>
        <v/>
      </c>
      <c r="H105" s="8"/>
      <c r="I105" s="8"/>
      <c r="J105" s="8"/>
      <c r="K105" s="8"/>
      <c r="L105" s="22"/>
      <c r="M105" s="22"/>
      <c r="N105" s="8"/>
    </row>
    <row r="106" spans="2:14" s="17" customFormat="1">
      <c r="B106" s="17" t="str">
        <f t="shared" si="1"/>
        <v/>
      </c>
      <c r="H106" s="8"/>
      <c r="I106" s="8"/>
      <c r="J106" s="8"/>
      <c r="K106" s="8"/>
      <c r="L106" s="22"/>
      <c r="M106" s="22"/>
      <c r="N106" s="8"/>
    </row>
    <row r="107" spans="2:14" s="17" customFormat="1">
      <c r="B107" s="17" t="str">
        <f t="shared" si="1"/>
        <v/>
      </c>
      <c r="H107" s="8"/>
      <c r="I107" s="8"/>
      <c r="J107" s="8"/>
      <c r="K107" s="8"/>
      <c r="L107" s="22"/>
      <c r="M107" s="22"/>
      <c r="N107" s="8"/>
    </row>
    <row r="108" spans="2:14" s="17" customFormat="1">
      <c r="B108" s="17" t="str">
        <f t="shared" si="1"/>
        <v/>
      </c>
      <c r="H108" s="8"/>
      <c r="I108" s="8"/>
      <c r="J108" s="8"/>
      <c r="K108" s="8"/>
      <c r="L108" s="22"/>
      <c r="M108" s="22"/>
      <c r="N108" s="8"/>
    </row>
    <row r="109" spans="2:14" s="17" customFormat="1">
      <c r="B109" s="17" t="str">
        <f t="shared" si="1"/>
        <v/>
      </c>
      <c r="H109" s="8"/>
      <c r="I109" s="8"/>
      <c r="J109" s="8"/>
      <c r="K109" s="8"/>
      <c r="L109" s="22"/>
      <c r="M109" s="22"/>
      <c r="N109" s="8"/>
    </row>
    <row r="110" spans="2:14" s="17" customFormat="1">
      <c r="B110" s="17" t="str">
        <f t="shared" si="1"/>
        <v/>
      </c>
      <c r="H110" s="8"/>
      <c r="I110" s="8"/>
      <c r="J110" s="8"/>
      <c r="K110" s="8"/>
      <c r="L110" s="22"/>
      <c r="M110" s="22"/>
      <c r="N110" s="8"/>
    </row>
    <row r="111" spans="2:14" s="17" customFormat="1">
      <c r="B111" s="17" t="str">
        <f t="shared" si="1"/>
        <v/>
      </c>
      <c r="H111" s="8"/>
      <c r="I111" s="8"/>
      <c r="J111" s="8"/>
      <c r="K111" s="8"/>
      <c r="L111" s="22"/>
      <c r="M111" s="22"/>
      <c r="N111" s="8"/>
    </row>
    <row r="112" spans="2:14" s="17" customFormat="1">
      <c r="B112" s="17" t="str">
        <f t="shared" si="1"/>
        <v/>
      </c>
      <c r="H112" s="8"/>
      <c r="I112" s="8"/>
      <c r="J112" s="8"/>
      <c r="K112" s="8"/>
      <c r="L112" s="22"/>
      <c r="M112" s="22"/>
      <c r="N112" s="8"/>
    </row>
    <row r="113" spans="2:14" s="17" customFormat="1">
      <c r="B113" s="17" t="str">
        <f t="shared" si="1"/>
        <v/>
      </c>
      <c r="H113" s="8"/>
      <c r="I113" s="8"/>
      <c r="J113" s="8"/>
      <c r="K113" s="8"/>
      <c r="L113" s="22"/>
      <c r="M113" s="22"/>
      <c r="N113" s="8"/>
    </row>
    <row r="114" spans="2:14" s="17" customFormat="1">
      <c r="B114" s="17" t="str">
        <f t="shared" si="1"/>
        <v/>
      </c>
      <c r="H114" s="8"/>
      <c r="I114" s="8"/>
      <c r="J114" s="8"/>
      <c r="K114" s="8"/>
      <c r="L114" s="22"/>
      <c r="M114" s="22"/>
      <c r="N114" s="8"/>
    </row>
    <row r="115" spans="2:14" s="17" customFormat="1">
      <c r="B115" s="17" t="str">
        <f t="shared" si="1"/>
        <v/>
      </c>
      <c r="H115" s="8"/>
      <c r="I115" s="8"/>
      <c r="J115" s="8"/>
      <c r="K115" s="8"/>
      <c r="L115" s="22"/>
      <c r="M115" s="22"/>
      <c r="N115" s="8"/>
    </row>
    <row r="116" spans="2:14" s="17" customFormat="1">
      <c r="B116" s="17" t="str">
        <f t="shared" si="1"/>
        <v/>
      </c>
      <c r="H116" s="8"/>
      <c r="I116" s="8"/>
      <c r="J116" s="8"/>
      <c r="K116" s="8"/>
      <c r="L116" s="22"/>
      <c r="M116" s="22"/>
      <c r="N116" s="8"/>
    </row>
    <row r="117" spans="2:14" s="17" customFormat="1">
      <c r="B117" s="17" t="str">
        <f t="shared" si="1"/>
        <v/>
      </c>
      <c r="H117" s="8"/>
      <c r="I117" s="8"/>
      <c r="J117" s="8"/>
      <c r="K117" s="8"/>
      <c r="L117" s="22"/>
      <c r="M117" s="22"/>
      <c r="N117" s="8"/>
    </row>
    <row r="118" spans="2:14" s="17" customFormat="1">
      <c r="B118" s="17" t="str">
        <f t="shared" si="1"/>
        <v/>
      </c>
      <c r="H118" s="8"/>
      <c r="I118" s="8"/>
      <c r="J118" s="8"/>
      <c r="K118" s="8"/>
      <c r="L118" s="22"/>
      <c r="M118" s="22"/>
      <c r="N118" s="8"/>
    </row>
    <row r="119" spans="2:14" s="17" customFormat="1">
      <c r="B119" s="17" t="str">
        <f t="shared" si="1"/>
        <v/>
      </c>
      <c r="H119" s="8"/>
      <c r="I119" s="8"/>
      <c r="J119" s="8"/>
      <c r="K119" s="8"/>
      <c r="L119" s="22"/>
      <c r="M119" s="22"/>
      <c r="N119" s="8"/>
    </row>
    <row r="120" spans="2:14" s="17" customFormat="1">
      <c r="B120" s="17" t="str">
        <f t="shared" si="1"/>
        <v/>
      </c>
      <c r="H120" s="8"/>
      <c r="I120" s="8"/>
      <c r="J120" s="8"/>
      <c r="K120" s="8"/>
      <c r="L120" s="22"/>
      <c r="M120" s="22"/>
      <c r="N120" s="8"/>
    </row>
    <row r="121" spans="2:14" s="17" customFormat="1">
      <c r="B121" s="17" t="str">
        <f t="shared" si="1"/>
        <v/>
      </c>
      <c r="H121" s="8"/>
      <c r="I121" s="8"/>
      <c r="J121" s="8"/>
      <c r="K121" s="8"/>
      <c r="L121" s="22"/>
      <c r="M121" s="22"/>
      <c r="N121" s="8"/>
    </row>
    <row r="122" spans="2:14" s="17" customFormat="1">
      <c r="B122" s="17" t="str">
        <f t="shared" si="1"/>
        <v/>
      </c>
      <c r="H122" s="8"/>
      <c r="I122" s="8"/>
      <c r="J122" s="8"/>
      <c r="K122" s="8"/>
      <c r="L122" s="22"/>
      <c r="M122" s="22"/>
      <c r="N122" s="8"/>
    </row>
    <row r="123" spans="2:14" s="17" customFormat="1">
      <c r="B123" s="17" t="str">
        <f t="shared" si="1"/>
        <v/>
      </c>
      <c r="H123" s="8"/>
      <c r="I123" s="8"/>
      <c r="J123" s="8"/>
      <c r="K123" s="8"/>
      <c r="L123" s="22"/>
      <c r="M123" s="22"/>
      <c r="N123" s="8"/>
    </row>
    <row r="124" spans="2:14" s="17" customFormat="1">
      <c r="B124" s="17" t="str">
        <f t="shared" si="1"/>
        <v/>
      </c>
      <c r="H124" s="8"/>
      <c r="I124" s="8"/>
      <c r="J124" s="8"/>
      <c r="K124" s="8"/>
      <c r="L124" s="22"/>
      <c r="M124" s="22"/>
      <c r="N124" s="8"/>
    </row>
    <row r="125" spans="2:14" s="17" customFormat="1">
      <c r="B125" s="17" t="str">
        <f t="shared" si="1"/>
        <v/>
      </c>
      <c r="H125" s="8"/>
      <c r="I125" s="8"/>
      <c r="J125" s="8"/>
      <c r="K125" s="8"/>
      <c r="L125" s="22"/>
      <c r="M125" s="22"/>
      <c r="N125" s="8"/>
    </row>
    <row r="126" spans="2:14" s="17" customFormat="1">
      <c r="B126" s="17" t="str">
        <f t="shared" si="1"/>
        <v/>
      </c>
      <c r="H126" s="8"/>
      <c r="I126" s="8"/>
      <c r="J126" s="8"/>
      <c r="K126" s="8"/>
      <c r="L126" s="22"/>
      <c r="M126" s="22"/>
      <c r="N126" s="8"/>
    </row>
    <row r="127" spans="2:14" s="17" customFormat="1">
      <c r="B127" s="17" t="str">
        <f t="shared" si="1"/>
        <v/>
      </c>
      <c r="H127" s="8"/>
      <c r="I127" s="8"/>
      <c r="J127" s="8"/>
      <c r="K127" s="8"/>
      <c r="L127" s="22"/>
      <c r="M127" s="22"/>
      <c r="N127" s="8"/>
    </row>
    <row r="128" spans="2:14" s="17" customFormat="1">
      <c r="B128" s="17" t="str">
        <f t="shared" si="1"/>
        <v/>
      </c>
      <c r="H128" s="8"/>
      <c r="I128" s="8"/>
      <c r="J128" s="8"/>
      <c r="K128" s="8"/>
      <c r="L128" s="22"/>
      <c r="M128" s="22"/>
      <c r="N128" s="8"/>
    </row>
    <row r="129" spans="2:14" s="17" customFormat="1">
      <c r="B129" s="17" t="str">
        <f t="shared" si="1"/>
        <v/>
      </c>
      <c r="H129" s="8"/>
      <c r="I129" s="8"/>
      <c r="J129" s="8"/>
      <c r="K129" s="8"/>
      <c r="L129" s="22"/>
      <c r="M129" s="22"/>
      <c r="N129" s="8"/>
    </row>
    <row r="130" spans="2:14" s="17" customFormat="1">
      <c r="B130" s="17" t="str">
        <f t="shared" si="1"/>
        <v/>
      </c>
      <c r="H130" s="8"/>
      <c r="I130" s="8"/>
      <c r="J130" s="8"/>
      <c r="K130" s="8"/>
      <c r="L130" s="22"/>
      <c r="M130" s="22"/>
      <c r="N130" s="8"/>
    </row>
    <row r="131" spans="2:14" s="17" customFormat="1">
      <c r="B131" s="17" t="str">
        <f t="shared" si="1"/>
        <v/>
      </c>
      <c r="H131" s="8"/>
      <c r="I131" s="8"/>
      <c r="J131" s="8"/>
      <c r="K131" s="8"/>
      <c r="L131" s="22"/>
      <c r="M131" s="22"/>
      <c r="N131" s="8"/>
    </row>
    <row r="132" spans="2:14" s="17" customFormat="1">
      <c r="B132" s="17" t="str">
        <f t="shared" ref="B132:B195" si="2">IF(C132="","","OBS-"&amp;TEXT(ROW()-2,"000"))</f>
        <v/>
      </c>
      <c r="H132" s="8"/>
      <c r="I132" s="8"/>
      <c r="J132" s="8"/>
      <c r="K132" s="8"/>
      <c r="L132" s="22"/>
      <c r="M132" s="22"/>
      <c r="N132" s="8"/>
    </row>
    <row r="133" spans="2:14" s="17" customFormat="1">
      <c r="B133" s="17" t="str">
        <f t="shared" si="2"/>
        <v/>
      </c>
      <c r="H133" s="8"/>
      <c r="I133" s="8"/>
      <c r="J133" s="8"/>
      <c r="K133" s="8"/>
      <c r="L133" s="22"/>
      <c r="M133" s="22"/>
      <c r="N133" s="8"/>
    </row>
    <row r="134" spans="2:14" s="17" customFormat="1">
      <c r="B134" s="17" t="str">
        <f t="shared" si="2"/>
        <v/>
      </c>
      <c r="H134" s="8"/>
      <c r="I134" s="8"/>
      <c r="J134" s="8"/>
      <c r="K134" s="8"/>
      <c r="L134" s="22"/>
      <c r="M134" s="22"/>
      <c r="N134" s="8"/>
    </row>
    <row r="135" spans="2:14" s="17" customFormat="1">
      <c r="B135" s="17" t="str">
        <f t="shared" si="2"/>
        <v/>
      </c>
      <c r="H135" s="8"/>
      <c r="I135" s="8"/>
      <c r="J135" s="8"/>
      <c r="K135" s="8"/>
      <c r="L135" s="22"/>
      <c r="M135" s="22"/>
      <c r="N135" s="8"/>
    </row>
    <row r="136" spans="2:14" s="17" customFormat="1">
      <c r="B136" s="17" t="str">
        <f t="shared" si="2"/>
        <v/>
      </c>
      <c r="H136" s="8"/>
      <c r="I136" s="8"/>
      <c r="J136" s="8"/>
      <c r="K136" s="8"/>
      <c r="L136" s="22"/>
      <c r="M136" s="22"/>
      <c r="N136" s="8"/>
    </row>
    <row r="137" spans="2:14" s="17" customFormat="1">
      <c r="B137" s="17" t="str">
        <f t="shared" si="2"/>
        <v/>
      </c>
      <c r="H137" s="8"/>
      <c r="I137" s="8"/>
      <c r="J137" s="8"/>
      <c r="K137" s="8"/>
      <c r="L137" s="22"/>
      <c r="M137" s="22"/>
      <c r="N137" s="8"/>
    </row>
    <row r="138" spans="2:14" s="17" customFormat="1">
      <c r="B138" s="17" t="str">
        <f t="shared" si="2"/>
        <v/>
      </c>
      <c r="H138" s="8"/>
      <c r="I138" s="8"/>
      <c r="J138" s="8"/>
      <c r="K138" s="8"/>
      <c r="L138" s="22"/>
      <c r="M138" s="22"/>
      <c r="N138" s="8"/>
    </row>
    <row r="139" spans="2:14" s="17" customFormat="1">
      <c r="B139" s="17" t="str">
        <f t="shared" si="2"/>
        <v/>
      </c>
      <c r="H139" s="8"/>
      <c r="I139" s="8"/>
      <c r="J139" s="8"/>
      <c r="K139" s="8"/>
      <c r="L139" s="22"/>
      <c r="M139" s="22"/>
      <c r="N139" s="8"/>
    </row>
    <row r="140" spans="2:14" s="17" customFormat="1">
      <c r="B140" s="17" t="str">
        <f t="shared" si="2"/>
        <v/>
      </c>
      <c r="H140" s="8"/>
      <c r="I140" s="8"/>
      <c r="J140" s="8"/>
      <c r="K140" s="8"/>
      <c r="L140" s="22"/>
      <c r="M140" s="22"/>
      <c r="N140" s="8"/>
    </row>
    <row r="141" spans="2:14" s="17" customFormat="1">
      <c r="B141" s="17" t="str">
        <f t="shared" si="2"/>
        <v/>
      </c>
      <c r="H141" s="8"/>
      <c r="I141" s="8"/>
      <c r="J141" s="8"/>
      <c r="K141" s="8"/>
      <c r="L141" s="22"/>
      <c r="M141" s="22"/>
      <c r="N141" s="8"/>
    </row>
    <row r="142" spans="2:14" s="17" customFormat="1">
      <c r="B142" s="17" t="str">
        <f t="shared" si="2"/>
        <v/>
      </c>
      <c r="H142" s="8"/>
      <c r="I142" s="8"/>
      <c r="J142" s="8"/>
      <c r="K142" s="8"/>
      <c r="L142" s="22"/>
      <c r="M142" s="22"/>
      <c r="N142" s="8"/>
    </row>
    <row r="143" spans="2:14" s="17" customFormat="1">
      <c r="B143" s="17" t="str">
        <f t="shared" si="2"/>
        <v/>
      </c>
      <c r="H143" s="8"/>
      <c r="I143" s="8"/>
      <c r="J143" s="8"/>
      <c r="K143" s="8"/>
      <c r="L143" s="22"/>
      <c r="M143" s="22"/>
      <c r="N143" s="8"/>
    </row>
    <row r="144" spans="2:14" s="17" customFormat="1">
      <c r="B144" s="17" t="str">
        <f t="shared" si="2"/>
        <v/>
      </c>
      <c r="H144" s="8"/>
      <c r="I144" s="8"/>
      <c r="J144" s="8"/>
      <c r="K144" s="8"/>
      <c r="L144" s="22"/>
      <c r="M144" s="22"/>
      <c r="N144" s="8"/>
    </row>
    <row r="145" spans="2:14" s="17" customFormat="1">
      <c r="B145" s="17" t="str">
        <f t="shared" si="2"/>
        <v/>
      </c>
      <c r="H145" s="8"/>
      <c r="I145" s="8"/>
      <c r="J145" s="8"/>
      <c r="K145" s="8"/>
      <c r="L145" s="22"/>
      <c r="M145" s="22"/>
      <c r="N145" s="8"/>
    </row>
    <row r="146" spans="2:14" s="17" customFormat="1">
      <c r="B146" s="17" t="str">
        <f t="shared" si="2"/>
        <v/>
      </c>
      <c r="H146" s="8"/>
      <c r="I146" s="8"/>
      <c r="J146" s="8"/>
      <c r="K146" s="8"/>
      <c r="L146" s="22"/>
      <c r="M146" s="22"/>
      <c r="N146" s="8"/>
    </row>
    <row r="147" spans="2:14" s="17" customFormat="1">
      <c r="B147" s="17" t="str">
        <f t="shared" si="2"/>
        <v/>
      </c>
      <c r="H147" s="8"/>
      <c r="I147" s="8"/>
      <c r="J147" s="8"/>
      <c r="K147" s="8"/>
      <c r="L147" s="22"/>
      <c r="M147" s="22"/>
      <c r="N147" s="8"/>
    </row>
    <row r="148" spans="2:14" s="17" customFormat="1">
      <c r="B148" s="17" t="str">
        <f t="shared" si="2"/>
        <v/>
      </c>
      <c r="H148" s="8"/>
      <c r="I148" s="8"/>
      <c r="J148" s="8"/>
      <c r="K148" s="8"/>
      <c r="L148" s="22"/>
      <c r="M148" s="22"/>
      <c r="N148" s="8"/>
    </row>
    <row r="149" spans="2:14" s="17" customFormat="1">
      <c r="B149" s="17" t="str">
        <f t="shared" si="2"/>
        <v/>
      </c>
      <c r="H149" s="8"/>
      <c r="I149" s="8"/>
      <c r="J149" s="8"/>
      <c r="K149" s="8"/>
      <c r="L149" s="22"/>
      <c r="M149" s="22"/>
      <c r="N149" s="8"/>
    </row>
    <row r="150" spans="2:14" s="17" customFormat="1">
      <c r="B150" s="17" t="str">
        <f t="shared" si="2"/>
        <v/>
      </c>
      <c r="H150" s="8"/>
      <c r="I150" s="8"/>
      <c r="J150" s="8"/>
      <c r="K150" s="8"/>
      <c r="L150" s="22"/>
      <c r="M150" s="22"/>
      <c r="N150" s="8"/>
    </row>
    <row r="151" spans="2:14" s="17" customFormat="1">
      <c r="B151" s="17" t="str">
        <f t="shared" si="2"/>
        <v/>
      </c>
      <c r="H151" s="8"/>
      <c r="I151" s="8"/>
      <c r="J151" s="8"/>
      <c r="K151" s="8"/>
      <c r="L151" s="22"/>
      <c r="M151" s="22"/>
      <c r="N151" s="8"/>
    </row>
    <row r="152" spans="2:14" s="17" customFormat="1">
      <c r="B152" s="17" t="str">
        <f t="shared" si="2"/>
        <v/>
      </c>
      <c r="H152" s="8"/>
      <c r="I152" s="8"/>
      <c r="J152" s="8"/>
      <c r="K152" s="8"/>
      <c r="L152" s="22"/>
      <c r="M152" s="22"/>
      <c r="N152" s="8"/>
    </row>
    <row r="153" spans="2:14" s="17" customFormat="1">
      <c r="B153" s="17" t="str">
        <f t="shared" si="2"/>
        <v/>
      </c>
      <c r="H153" s="8"/>
      <c r="I153" s="8"/>
      <c r="J153" s="8"/>
      <c r="K153" s="8"/>
      <c r="L153" s="22"/>
      <c r="M153" s="22"/>
      <c r="N153" s="8"/>
    </row>
    <row r="154" spans="2:14" s="17" customFormat="1">
      <c r="B154" s="17" t="str">
        <f t="shared" si="2"/>
        <v/>
      </c>
      <c r="H154" s="8"/>
      <c r="I154" s="8"/>
      <c r="J154" s="8"/>
      <c r="K154" s="8"/>
      <c r="L154" s="22"/>
      <c r="M154" s="22"/>
      <c r="N154" s="8"/>
    </row>
    <row r="155" spans="2:14" s="17" customFormat="1">
      <c r="B155" s="17" t="str">
        <f t="shared" si="2"/>
        <v/>
      </c>
      <c r="H155" s="8"/>
      <c r="I155" s="8"/>
      <c r="J155" s="8"/>
      <c r="K155" s="8"/>
      <c r="L155" s="22"/>
      <c r="M155" s="22"/>
      <c r="N155" s="8"/>
    </row>
    <row r="156" spans="2:14" s="17" customFormat="1">
      <c r="B156" s="17" t="str">
        <f t="shared" si="2"/>
        <v/>
      </c>
      <c r="H156" s="8"/>
      <c r="I156" s="8"/>
      <c r="J156" s="8"/>
      <c r="K156" s="8"/>
      <c r="L156" s="22"/>
      <c r="M156" s="22"/>
      <c r="N156" s="8"/>
    </row>
    <row r="157" spans="2:14" s="17" customFormat="1">
      <c r="B157" s="17" t="str">
        <f t="shared" si="2"/>
        <v/>
      </c>
      <c r="H157" s="8"/>
      <c r="I157" s="8"/>
      <c r="J157" s="8"/>
      <c r="K157" s="8"/>
      <c r="L157" s="22"/>
      <c r="M157" s="22"/>
      <c r="N157" s="8"/>
    </row>
    <row r="158" spans="2:14" s="17" customFormat="1">
      <c r="B158" s="17" t="str">
        <f t="shared" si="2"/>
        <v/>
      </c>
      <c r="H158" s="8"/>
      <c r="I158" s="8"/>
      <c r="J158" s="8"/>
      <c r="K158" s="8"/>
      <c r="L158" s="22"/>
      <c r="M158" s="22"/>
      <c r="N158" s="8"/>
    </row>
    <row r="159" spans="2:14" s="17" customFormat="1">
      <c r="B159" s="17" t="str">
        <f t="shared" si="2"/>
        <v/>
      </c>
      <c r="H159" s="8"/>
      <c r="I159" s="8"/>
      <c r="J159" s="8"/>
      <c r="K159" s="8"/>
      <c r="L159" s="22"/>
      <c r="M159" s="22"/>
      <c r="N159" s="8"/>
    </row>
    <row r="160" spans="2:14" s="17" customFormat="1">
      <c r="B160" s="17" t="str">
        <f t="shared" si="2"/>
        <v/>
      </c>
      <c r="H160" s="8"/>
      <c r="I160" s="8"/>
      <c r="J160" s="8"/>
      <c r="K160" s="8"/>
      <c r="L160" s="22"/>
      <c r="M160" s="22"/>
      <c r="N160" s="8"/>
    </row>
    <row r="161" spans="2:14" s="17" customFormat="1">
      <c r="B161" s="17" t="str">
        <f t="shared" si="2"/>
        <v/>
      </c>
      <c r="H161" s="8"/>
      <c r="I161" s="8"/>
      <c r="J161" s="8"/>
      <c r="K161" s="8"/>
      <c r="L161" s="22"/>
      <c r="M161" s="22"/>
      <c r="N161" s="8"/>
    </row>
    <row r="162" spans="2:14" s="17" customFormat="1">
      <c r="B162" s="17" t="str">
        <f t="shared" si="2"/>
        <v/>
      </c>
      <c r="H162" s="8"/>
      <c r="I162" s="8"/>
      <c r="J162" s="8"/>
      <c r="K162" s="8"/>
      <c r="L162" s="22"/>
      <c r="M162" s="22"/>
      <c r="N162" s="8"/>
    </row>
    <row r="163" spans="2:14" s="17" customFormat="1">
      <c r="B163" s="17" t="str">
        <f t="shared" si="2"/>
        <v/>
      </c>
      <c r="H163" s="8"/>
      <c r="I163" s="8"/>
      <c r="J163" s="8"/>
      <c r="K163" s="8"/>
      <c r="L163" s="22"/>
      <c r="M163" s="22"/>
      <c r="N163" s="8"/>
    </row>
    <row r="164" spans="2:14" s="17" customFormat="1">
      <c r="B164" s="17" t="str">
        <f t="shared" si="2"/>
        <v/>
      </c>
      <c r="H164" s="8"/>
      <c r="I164" s="8"/>
      <c r="J164" s="8"/>
      <c r="K164" s="8"/>
      <c r="L164" s="22"/>
      <c r="M164" s="22"/>
      <c r="N164" s="8"/>
    </row>
    <row r="165" spans="2:14" s="17" customFormat="1">
      <c r="B165" s="17" t="str">
        <f t="shared" si="2"/>
        <v/>
      </c>
      <c r="H165" s="8"/>
      <c r="I165" s="8"/>
      <c r="J165" s="8"/>
      <c r="K165" s="8"/>
      <c r="L165" s="22"/>
      <c r="M165" s="22"/>
      <c r="N165" s="8"/>
    </row>
    <row r="166" spans="2:14" s="17" customFormat="1">
      <c r="B166" s="17" t="str">
        <f t="shared" si="2"/>
        <v/>
      </c>
      <c r="H166" s="8"/>
      <c r="I166" s="8"/>
      <c r="J166" s="8"/>
      <c r="K166" s="8"/>
      <c r="L166" s="22"/>
      <c r="M166" s="22"/>
      <c r="N166" s="8"/>
    </row>
    <row r="167" spans="2:14" s="17" customFormat="1">
      <c r="B167" s="17" t="str">
        <f t="shared" si="2"/>
        <v/>
      </c>
      <c r="H167" s="8"/>
      <c r="I167" s="8"/>
      <c r="J167" s="8"/>
      <c r="K167" s="8"/>
      <c r="L167" s="22"/>
      <c r="M167" s="22"/>
      <c r="N167" s="8"/>
    </row>
    <row r="168" spans="2:14" s="17" customFormat="1">
      <c r="B168" s="17" t="str">
        <f t="shared" si="2"/>
        <v/>
      </c>
      <c r="H168" s="8"/>
      <c r="I168" s="8"/>
      <c r="J168" s="8"/>
      <c r="K168" s="8"/>
      <c r="L168" s="22"/>
      <c r="M168" s="22"/>
      <c r="N168" s="8"/>
    </row>
    <row r="169" spans="2:14" s="17" customFormat="1">
      <c r="B169" s="17" t="str">
        <f t="shared" si="2"/>
        <v/>
      </c>
      <c r="H169" s="8"/>
      <c r="I169" s="8"/>
      <c r="J169" s="8"/>
      <c r="K169" s="8"/>
      <c r="L169" s="22"/>
      <c r="M169" s="22"/>
      <c r="N169" s="8"/>
    </row>
    <row r="170" spans="2:14" s="17" customFormat="1">
      <c r="B170" s="17" t="str">
        <f t="shared" si="2"/>
        <v/>
      </c>
      <c r="H170" s="8"/>
      <c r="I170" s="8"/>
      <c r="J170" s="8"/>
      <c r="K170" s="8"/>
      <c r="L170" s="22"/>
      <c r="M170" s="22"/>
      <c r="N170" s="8"/>
    </row>
    <row r="171" spans="2:14" s="17" customFormat="1">
      <c r="B171" s="17" t="str">
        <f t="shared" si="2"/>
        <v/>
      </c>
      <c r="H171" s="8"/>
      <c r="I171" s="8"/>
      <c r="J171" s="8"/>
      <c r="K171" s="8"/>
      <c r="L171" s="22"/>
      <c r="M171" s="22"/>
      <c r="N171" s="8"/>
    </row>
    <row r="172" spans="2:14" s="17" customFormat="1">
      <c r="B172" s="17" t="str">
        <f t="shared" si="2"/>
        <v/>
      </c>
      <c r="H172" s="8"/>
      <c r="I172" s="8"/>
      <c r="J172" s="8"/>
      <c r="K172" s="8"/>
      <c r="L172" s="22"/>
      <c r="M172" s="22"/>
      <c r="N172" s="8"/>
    </row>
    <row r="173" spans="2:14" s="17" customFormat="1">
      <c r="B173" s="17" t="str">
        <f t="shared" si="2"/>
        <v/>
      </c>
      <c r="H173" s="8"/>
      <c r="I173" s="8"/>
      <c r="J173" s="8"/>
      <c r="K173" s="8"/>
      <c r="L173" s="22"/>
      <c r="M173" s="22"/>
      <c r="N173" s="8"/>
    </row>
    <row r="174" spans="2:14" s="17" customFormat="1">
      <c r="B174" s="17" t="str">
        <f t="shared" si="2"/>
        <v/>
      </c>
      <c r="H174" s="8"/>
      <c r="I174" s="8"/>
      <c r="J174" s="8"/>
      <c r="K174" s="8"/>
      <c r="L174" s="22"/>
      <c r="M174" s="22"/>
      <c r="N174" s="8"/>
    </row>
    <row r="175" spans="2:14" s="17" customFormat="1">
      <c r="B175" s="17" t="str">
        <f t="shared" si="2"/>
        <v/>
      </c>
      <c r="H175" s="8"/>
      <c r="I175" s="8"/>
      <c r="J175" s="8"/>
      <c r="K175" s="8"/>
      <c r="L175" s="22"/>
      <c r="M175" s="22"/>
      <c r="N175" s="8"/>
    </row>
    <row r="176" spans="2:14" s="17" customFormat="1">
      <c r="B176" s="17" t="str">
        <f t="shared" si="2"/>
        <v/>
      </c>
      <c r="H176" s="8"/>
      <c r="I176" s="8"/>
      <c r="J176" s="8"/>
      <c r="K176" s="8"/>
      <c r="L176" s="22"/>
      <c r="M176" s="22"/>
      <c r="N176" s="8"/>
    </row>
    <row r="177" spans="2:14" s="17" customFormat="1">
      <c r="B177" s="17" t="str">
        <f t="shared" si="2"/>
        <v/>
      </c>
      <c r="H177" s="8"/>
      <c r="I177" s="8"/>
      <c r="J177" s="8"/>
      <c r="K177" s="8"/>
      <c r="L177" s="22"/>
      <c r="M177" s="22"/>
      <c r="N177" s="8"/>
    </row>
    <row r="178" spans="2:14" s="17" customFormat="1">
      <c r="B178" s="17" t="str">
        <f t="shared" si="2"/>
        <v/>
      </c>
      <c r="H178" s="8"/>
      <c r="I178" s="8"/>
      <c r="J178" s="8"/>
      <c r="K178" s="8"/>
      <c r="L178" s="22"/>
      <c r="M178" s="22"/>
      <c r="N178" s="8"/>
    </row>
    <row r="179" spans="2:14" s="17" customFormat="1">
      <c r="B179" s="17" t="str">
        <f t="shared" si="2"/>
        <v/>
      </c>
      <c r="H179" s="8"/>
      <c r="I179" s="8"/>
      <c r="J179" s="8"/>
      <c r="K179" s="8"/>
      <c r="L179" s="22"/>
      <c r="M179" s="22"/>
      <c r="N179" s="8"/>
    </row>
    <row r="180" spans="2:14" s="17" customFormat="1">
      <c r="B180" s="17" t="str">
        <f t="shared" si="2"/>
        <v/>
      </c>
      <c r="H180" s="8"/>
      <c r="I180" s="8"/>
      <c r="J180" s="8"/>
      <c r="K180" s="8"/>
      <c r="L180" s="22"/>
      <c r="M180" s="22"/>
      <c r="N180" s="8"/>
    </row>
    <row r="181" spans="2:14" s="17" customFormat="1">
      <c r="B181" s="17" t="str">
        <f t="shared" si="2"/>
        <v/>
      </c>
      <c r="H181" s="8"/>
      <c r="I181" s="8"/>
      <c r="J181" s="8"/>
      <c r="K181" s="8"/>
      <c r="L181" s="22"/>
      <c r="M181" s="22"/>
      <c r="N181" s="8"/>
    </row>
    <row r="182" spans="2:14" s="17" customFormat="1">
      <c r="B182" s="17" t="str">
        <f t="shared" si="2"/>
        <v/>
      </c>
      <c r="H182" s="8"/>
      <c r="I182" s="8"/>
      <c r="J182" s="8"/>
      <c r="K182" s="8"/>
      <c r="L182" s="22"/>
      <c r="M182" s="22"/>
      <c r="N182" s="8"/>
    </row>
    <row r="183" spans="2:14" s="17" customFormat="1">
      <c r="B183" s="17" t="str">
        <f t="shared" si="2"/>
        <v/>
      </c>
      <c r="H183" s="8"/>
      <c r="I183" s="8"/>
      <c r="J183" s="8"/>
      <c r="K183" s="8"/>
      <c r="L183" s="22"/>
      <c r="M183" s="22"/>
      <c r="N183" s="8"/>
    </row>
    <row r="184" spans="2:14" s="17" customFormat="1">
      <c r="B184" s="17" t="str">
        <f t="shared" si="2"/>
        <v/>
      </c>
      <c r="H184" s="8"/>
      <c r="I184" s="8"/>
      <c r="J184" s="8"/>
      <c r="K184" s="8"/>
      <c r="L184" s="22"/>
      <c r="M184" s="22"/>
      <c r="N184" s="8"/>
    </row>
    <row r="185" spans="2:14" s="17" customFormat="1">
      <c r="B185" s="17" t="str">
        <f t="shared" si="2"/>
        <v/>
      </c>
      <c r="H185" s="8"/>
      <c r="I185" s="8"/>
      <c r="J185" s="8"/>
      <c r="K185" s="8"/>
      <c r="L185" s="22"/>
      <c r="M185" s="22"/>
      <c r="N185" s="8"/>
    </row>
    <row r="186" spans="2:14" s="17" customFormat="1">
      <c r="B186" s="17" t="str">
        <f t="shared" si="2"/>
        <v/>
      </c>
      <c r="H186" s="8"/>
      <c r="I186" s="8"/>
      <c r="J186" s="8"/>
      <c r="K186" s="8"/>
      <c r="L186" s="22"/>
      <c r="M186" s="22"/>
      <c r="N186" s="8"/>
    </row>
    <row r="187" spans="2:14" s="17" customFormat="1">
      <c r="B187" s="17" t="str">
        <f t="shared" si="2"/>
        <v/>
      </c>
      <c r="H187" s="8"/>
      <c r="I187" s="8"/>
      <c r="J187" s="8"/>
      <c r="K187" s="8"/>
      <c r="L187" s="22"/>
      <c r="M187" s="22"/>
      <c r="N187" s="8"/>
    </row>
    <row r="188" spans="2:14" s="17" customFormat="1">
      <c r="B188" s="17" t="str">
        <f t="shared" si="2"/>
        <v/>
      </c>
      <c r="H188" s="8"/>
      <c r="I188" s="8"/>
      <c r="J188" s="8"/>
      <c r="K188" s="8"/>
      <c r="L188" s="22"/>
      <c r="M188" s="22"/>
      <c r="N188" s="8"/>
    </row>
    <row r="189" spans="2:14" s="17" customFormat="1">
      <c r="B189" s="17" t="str">
        <f t="shared" si="2"/>
        <v/>
      </c>
      <c r="H189" s="8"/>
      <c r="I189" s="8"/>
      <c r="J189" s="8"/>
      <c r="K189" s="8"/>
      <c r="L189" s="22"/>
      <c r="M189" s="22"/>
      <c r="N189" s="8"/>
    </row>
    <row r="190" spans="2:14" s="17" customFormat="1">
      <c r="B190" s="17" t="str">
        <f t="shared" si="2"/>
        <v/>
      </c>
      <c r="H190" s="8"/>
      <c r="I190" s="8"/>
      <c r="J190" s="8"/>
      <c r="K190" s="8"/>
      <c r="L190" s="22"/>
      <c r="M190" s="22"/>
      <c r="N190" s="8"/>
    </row>
    <row r="191" spans="2:14" s="17" customFormat="1">
      <c r="B191" s="17" t="str">
        <f t="shared" si="2"/>
        <v/>
      </c>
      <c r="H191" s="8"/>
      <c r="I191" s="8"/>
      <c r="J191" s="8"/>
      <c r="K191" s="8"/>
      <c r="L191" s="22"/>
      <c r="M191" s="22"/>
      <c r="N191" s="8"/>
    </row>
    <row r="192" spans="2:14" s="17" customFormat="1">
      <c r="B192" s="17" t="str">
        <f t="shared" si="2"/>
        <v/>
      </c>
      <c r="H192" s="8"/>
      <c r="I192" s="8"/>
      <c r="J192" s="8"/>
      <c r="K192" s="8"/>
      <c r="L192" s="22"/>
      <c r="M192" s="22"/>
      <c r="N192" s="8"/>
    </row>
    <row r="193" spans="2:14" s="17" customFormat="1">
      <c r="B193" s="17" t="str">
        <f t="shared" si="2"/>
        <v/>
      </c>
      <c r="H193" s="8"/>
      <c r="I193" s="8"/>
      <c r="J193" s="8"/>
      <c r="K193" s="8"/>
      <c r="L193" s="22"/>
      <c r="M193" s="22"/>
      <c r="N193" s="8"/>
    </row>
    <row r="194" spans="2:14" s="17" customFormat="1">
      <c r="B194" s="17" t="str">
        <f t="shared" si="2"/>
        <v/>
      </c>
      <c r="H194" s="8"/>
      <c r="I194" s="8"/>
      <c r="J194" s="8"/>
      <c r="K194" s="8"/>
      <c r="L194" s="22"/>
      <c r="M194" s="22"/>
      <c r="N194" s="8"/>
    </row>
    <row r="195" spans="2:14" s="17" customFormat="1">
      <c r="B195" s="17" t="str">
        <f t="shared" si="2"/>
        <v/>
      </c>
      <c r="H195" s="8"/>
      <c r="I195" s="8"/>
      <c r="J195" s="8"/>
      <c r="K195" s="8"/>
      <c r="L195" s="22"/>
      <c r="M195" s="22"/>
      <c r="N195" s="8"/>
    </row>
    <row r="196" spans="2:14" s="17" customFormat="1">
      <c r="B196" s="17" t="str">
        <f t="shared" ref="B196:B202" si="3">IF(C196="","","OBS-"&amp;TEXT(ROW()-2,"000"))</f>
        <v/>
      </c>
      <c r="H196" s="8"/>
      <c r="I196" s="8"/>
      <c r="J196" s="8"/>
      <c r="K196" s="8"/>
      <c r="L196" s="22"/>
      <c r="M196" s="22"/>
      <c r="N196" s="8"/>
    </row>
    <row r="197" spans="2:14" s="17" customFormat="1">
      <c r="B197" s="17" t="str">
        <f t="shared" si="3"/>
        <v/>
      </c>
      <c r="H197" s="8"/>
      <c r="I197" s="8"/>
      <c r="J197" s="8"/>
      <c r="K197" s="8"/>
      <c r="L197" s="22"/>
      <c r="M197" s="22"/>
      <c r="N197" s="8"/>
    </row>
    <row r="198" spans="2:14" s="17" customFormat="1">
      <c r="B198" s="17" t="str">
        <f t="shared" si="3"/>
        <v/>
      </c>
      <c r="H198" s="8"/>
      <c r="I198" s="8"/>
      <c r="J198" s="8"/>
      <c r="K198" s="8"/>
      <c r="L198" s="22"/>
      <c r="M198" s="22"/>
      <c r="N198" s="8"/>
    </row>
    <row r="199" spans="2:14">
      <c r="B199" s="2" t="str">
        <f t="shared" si="3"/>
        <v/>
      </c>
      <c r="H199" s="4"/>
      <c r="I199" s="4"/>
      <c r="J199" s="4"/>
      <c r="K199" s="4"/>
      <c r="L199" s="18"/>
      <c r="M199" s="18"/>
      <c r="N199" s="4"/>
    </row>
    <row r="200" spans="2:14">
      <c r="B200" s="2" t="str">
        <f t="shared" si="3"/>
        <v/>
      </c>
      <c r="H200" s="4"/>
      <c r="I200" s="4"/>
      <c r="J200" s="4"/>
      <c r="K200" s="4"/>
      <c r="L200" s="18"/>
      <c r="M200" s="18"/>
      <c r="N200" s="4"/>
    </row>
    <row r="201" spans="2:14">
      <c r="B201" s="2" t="str">
        <f t="shared" si="3"/>
        <v/>
      </c>
      <c r="H201" s="4"/>
      <c r="I201" s="4"/>
      <c r="J201" s="4"/>
      <c r="K201" s="4"/>
      <c r="L201" s="18"/>
      <c r="M201" s="18"/>
      <c r="N201" s="4"/>
    </row>
    <row r="202" spans="2:14">
      <c r="B202" s="2" t="str">
        <f t="shared" si="3"/>
        <v/>
      </c>
      <c r="H202" s="4"/>
      <c r="I202" s="4"/>
      <c r="J202" s="4"/>
      <c r="K202" s="4"/>
      <c r="L202" s="18"/>
      <c r="M202" s="18"/>
      <c r="N202" s="4"/>
    </row>
  </sheetData>
  <dataValidations count="4">
    <dataValidation type="list" sqref="G3:G202" xr:uid="{00000000-0002-0000-0100-000000000000}">
      <formula1>_xlfn._LONGTEXT("Workforce Planning,Hiring,Onboarding,Organization &amp; Performance,Portfolio Intake &amp; Prioritization,Scoping &amp; Delivery,Capacity Planning,Cross-Pod Coordination,Portfolio Visibility &amp; Operating Rhythm,Portfolio Company Engagement,Product Lifecycle &amp; Knowledg","e,Shared Platform &amp; Data Governance,Model Governance,Access &amp; Information Barriers,Data Privacy &amp; Governance,Operational Leverage,Financial Planning &amp; Spend Management,Vendor &amp; Contract Management,Value &amp; Partner Reporting,HR-DI Ways of Working,DI-Finance"," Ways of Working,Central-Function Ways of Working,DI-Deerfield Integration,Corporate Interfaces,Strength / Context,Other")</formula1>
    </dataValidation>
    <dataValidation type="list" sqref="J3:J202" xr:uid="{00000000-0002-0000-0100-000001000000}">
      <formula1>"Direct example,Repeated pattern,Perception / opinion,Document / artifact,Observed behavior,Metric / data"</formula1>
    </dataValidation>
    <dataValidation type="list" sqref="L3:L202" xr:uid="{00000000-0002-0000-0100-000002000000}">
      <formula1>"1,2,3,4,5"</formula1>
    </dataValidation>
    <dataValidation type="list" sqref="M3:M202" xr:uid="{00000000-0002-0000-0100-000003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103"/>
  <sheetViews>
    <sheetView showGridLines="0" topLeftCell="R1" zoomScale="82" workbookViewId="0">
      <selection activeCell="V7" sqref="V7"/>
    </sheetView>
  </sheetViews>
  <sheetFormatPr defaultRowHeight="14.5"/>
  <cols>
    <col min="1" max="1" width="2.5" style="2" customWidth="1"/>
    <col min="2" max="2" width="12" style="2" customWidth="1"/>
    <col min="3" max="3" width="42" style="2" customWidth="1"/>
    <col min="4" max="4" width="22" style="2" customWidth="1"/>
    <col min="5" max="5" width="42" style="2" customWidth="1"/>
    <col min="6" max="7" width="13" style="2" customWidth="1"/>
    <col min="8" max="8" width="16" style="2" customWidth="1"/>
    <col min="9" max="10" width="20" style="2" customWidth="1"/>
    <col min="11" max="14" width="16" style="2" customWidth="1"/>
    <col min="15" max="15" width="14" style="2" customWidth="1"/>
    <col min="16" max="16" width="18" style="2" customWidth="1"/>
    <col min="17" max="17" width="35" style="2" customWidth="1"/>
    <col min="18" max="18" width="24" style="2" customWidth="1"/>
    <col min="19" max="21" width="20" style="2" customWidth="1"/>
    <col min="22" max="23" width="42" style="2" customWidth="1"/>
    <col min="24" max="16384" width="8.6640625" style="2"/>
  </cols>
  <sheetData>
    <row r="2" spans="2:23">
      <c r="F2" s="7" t="s">
        <v>58</v>
      </c>
      <c r="G2" s="7"/>
      <c r="H2" s="7"/>
      <c r="I2" s="7"/>
      <c r="J2" s="7"/>
      <c r="K2" s="7" t="s">
        <v>59</v>
      </c>
      <c r="L2" s="7"/>
      <c r="M2" s="7"/>
      <c r="N2" s="7"/>
      <c r="O2" s="7"/>
      <c r="P2" s="7"/>
      <c r="Q2" s="7" t="s">
        <v>60</v>
      </c>
      <c r="R2" s="7"/>
      <c r="S2" s="7"/>
      <c r="T2" s="7"/>
      <c r="U2" s="7"/>
      <c r="V2" s="7"/>
      <c r="W2" s="7"/>
    </row>
    <row r="3" spans="2:23" ht="29">
      <c r="B3" s="29" t="s">
        <v>49</v>
      </c>
      <c r="C3" s="29" t="s">
        <v>61</v>
      </c>
      <c r="D3" s="29" t="s">
        <v>50</v>
      </c>
      <c r="E3" s="29" t="s">
        <v>62</v>
      </c>
      <c r="F3" s="34" t="s">
        <v>63</v>
      </c>
      <c r="G3" s="34" t="s">
        <v>64</v>
      </c>
      <c r="H3" s="34" t="s">
        <v>65</v>
      </c>
      <c r="I3" s="34" t="s">
        <v>66</v>
      </c>
      <c r="J3" s="34" t="s">
        <v>67</v>
      </c>
      <c r="K3" s="34" t="s">
        <v>756</v>
      </c>
      <c r="L3" s="34" t="s">
        <v>757</v>
      </c>
      <c r="M3" s="34" t="s">
        <v>758</v>
      </c>
      <c r="N3" s="34" t="s">
        <v>759</v>
      </c>
      <c r="O3" s="34" t="s">
        <v>68</v>
      </c>
      <c r="P3" s="34" t="s">
        <v>69</v>
      </c>
      <c r="Q3" s="29" t="s">
        <v>70</v>
      </c>
      <c r="R3" s="29" t="s">
        <v>71</v>
      </c>
      <c r="S3" s="29" t="s">
        <v>72</v>
      </c>
      <c r="T3" s="29" t="s">
        <v>73</v>
      </c>
      <c r="U3" s="29" t="s">
        <v>74</v>
      </c>
      <c r="V3" s="29" t="s">
        <v>75</v>
      </c>
      <c r="W3" s="29" t="s">
        <v>568</v>
      </c>
    </row>
    <row r="4" spans="2:23" s="24" customFormat="1" ht="39.5" customHeight="1">
      <c r="B4" s="30" t="s">
        <v>236</v>
      </c>
      <c r="C4" s="31" t="s">
        <v>668</v>
      </c>
      <c r="D4" s="31" t="s">
        <v>237</v>
      </c>
      <c r="E4" s="31" t="s">
        <v>669</v>
      </c>
      <c r="F4" s="32">
        <f>IF(B4="","",COUNTIF('1_Evidence Log'!$F$3:$F$202,B4))</f>
        <v>4</v>
      </c>
      <c r="G4" s="32">
        <f>IF(B4="","",--(COUNTIFS('1_Evidence Log'!$F$3:$F$202,B4,'1_Evidence Log'!$C$3:$C$202,"Elena Rodriguez")&gt;0)+--(COUNTIFS('1_Evidence Log'!$F$3:$F$202,B4,'1_Evidence Log'!$C$3:$C$202,"James Okonkwo")&gt;0)+--(COUNTIFS('1_Evidence Log'!$F$3:$F$202,B4,'1_Evidence Log'!$C$3:$C$202,"Marcus Thompson")&gt;0)+--(COUNTIFS('1_Evidence Log'!$F$3:$F$202,B4,'1_Evidence Log'!$C$3:$C$202,"Priya Sharma")&gt;0)+--(COUNTIFS('1_Evidence Log'!$F$3:$F$202,B4,'1_Evidence Log'!$C$3:$C$202,"Sarah")&gt;0)+--(COUNTIFS('1_Evidence Log'!$F$3:$F$202,B4,'1_Evidence Log'!$C$3:$C$202,"David Chen")&gt;0))</f>
        <v>3</v>
      </c>
      <c r="H4" s="32">
        <f>IF(B4="","",COUNTIFS('1_Evidence Log'!$F$3:$F$202,B4,'1_Evidence Log'!$J$3:$J$202,"Direct example")+COUNTIFS('1_Evidence Log'!$F$3:$F$202,B4,'1_Evidence Log'!$J$3:$J$202,"Document / artifact")+COUNTIFS('1_Evidence Log'!$F$3:$F$202,B4,'1_Evidence Log'!$J$3:$J$202,"Observed behavior")+COUNTIFS('1_Evidence Log'!$F$3:$F$202,B4,'1_Evidence Log'!$J$3:$J$202,"Metric / data"))</f>
        <v>0</v>
      </c>
      <c r="I4" s="32" t="str">
        <f>IF(B4="","",IF(AND(G4&gt;=3,H4&gt;=2),"Strong signal",IF(OR(G4&gt;=2,H4&gt;=1),"Emerging signal","Weak or unconfirmed")))</f>
        <v>Emerging signal</v>
      </c>
      <c r="J4" s="32" t="s">
        <v>142</v>
      </c>
      <c r="K4" s="32">
        <v>3</v>
      </c>
      <c r="L4" s="32">
        <v>3</v>
      </c>
      <c r="M4" s="32">
        <v>4</v>
      </c>
      <c r="N4" s="32">
        <v>4</v>
      </c>
      <c r="O4" s="32">
        <f>IF(COUNT(K4:N4)&lt;4,"",ROUND((K4*0.35+L4*0.25+M4*0.25+(6-N4)*0.15)*20,0))</f>
        <v>62</v>
      </c>
      <c r="P4" s="32" t="str">
        <f>IF(O4="","",IF(O4&gt;=80,"P1 — Critical",IF(O4&gt;=65,"P2 — High",IF(O4&gt;=50,"P3 — Medium","P4 — Longer-term"))))</f>
        <v>P3 — Medium</v>
      </c>
      <c r="Q4" s="31" t="s">
        <v>670</v>
      </c>
      <c r="R4" s="31" t="s">
        <v>671</v>
      </c>
      <c r="S4" s="31" t="s">
        <v>592</v>
      </c>
      <c r="T4" s="31" t="str">
        <f>IF(P4="P1 — Critical","0–30 days",IF(P4="P2 — High","31–90 days","Post-90 days"))</f>
        <v>Post-90 days</v>
      </c>
      <c r="U4" s="31" t="s">
        <v>610</v>
      </c>
      <c r="V4" s="31" t="s">
        <v>672</v>
      </c>
      <c r="W4" s="31" t="s">
        <v>673</v>
      </c>
    </row>
    <row r="5" spans="2:23" ht="39.5" customHeight="1">
      <c r="B5" s="30" t="s">
        <v>309</v>
      </c>
      <c r="C5" s="31" t="s">
        <v>589</v>
      </c>
      <c r="D5" s="31" t="s">
        <v>310</v>
      </c>
      <c r="E5" s="31" t="s">
        <v>590</v>
      </c>
      <c r="F5" s="32">
        <f>IF(B5="","",COUNTIF('1_Evidence Log'!$F$3:$F$202,B5))</f>
        <v>1</v>
      </c>
      <c r="G5" s="32">
        <f>IF(B5="","",--(COUNTIFS('1_Evidence Log'!$F$3:$F$202,B5,'1_Evidence Log'!$C$3:$C$202,"Elena Rodriguez")&gt;0)+--(COUNTIFS('1_Evidence Log'!$F$3:$F$202,B5,'1_Evidence Log'!$C$3:$C$202,"James Okonkwo")&gt;0)+--(COUNTIFS('1_Evidence Log'!$F$3:$F$202,B5,'1_Evidence Log'!$C$3:$C$202,"Marcus Thompson")&gt;0)+--(COUNTIFS('1_Evidence Log'!$F$3:$F$202,B5,'1_Evidence Log'!$C$3:$C$202,"Priya Sharma")&gt;0)+--(COUNTIFS('1_Evidence Log'!$F$3:$F$202,B5,'1_Evidence Log'!$C$3:$C$202,"Sarah")&gt;0)+--(COUNTIFS('1_Evidence Log'!$F$3:$F$202,B5,'1_Evidence Log'!$C$3:$C$202,"David Chen")&gt;0))</f>
        <v>1</v>
      </c>
      <c r="H5" s="32">
        <f>IF(B5="","",COUNTIFS('1_Evidence Log'!$F$3:$F$202,B5,'1_Evidence Log'!$J$3:$J$202,"Direct example")+COUNTIFS('1_Evidence Log'!$F$3:$F$202,B5,'1_Evidence Log'!$J$3:$J$202,"Document / artifact")+COUNTIFS('1_Evidence Log'!$F$3:$F$202,B5,'1_Evidence Log'!$J$3:$J$202,"Observed behavior")+COUNTIFS('1_Evidence Log'!$F$3:$F$202,B5,'1_Evidence Log'!$J$3:$J$202,"Metric / data"))</f>
        <v>0</v>
      </c>
      <c r="I5" s="32" t="str">
        <f>IF(B5="","",IF(AND(G5&gt;=3,H5&gt;=2),"Strong signal",IF(OR(G5&gt;=2,H5&gt;=1),"Emerging signal","Weak or unconfirmed")))</f>
        <v>Weak or unconfirmed</v>
      </c>
      <c r="J5" s="32" t="s">
        <v>142</v>
      </c>
      <c r="K5" s="32">
        <v>5</v>
      </c>
      <c r="L5" s="32">
        <v>5</v>
      </c>
      <c r="M5" s="32">
        <v>5</v>
      </c>
      <c r="N5" s="32">
        <v>3</v>
      </c>
      <c r="O5" s="32">
        <f>IF(COUNT(K5:N5)&lt;4,"",ROUND((K5*0.35+L5*0.25+M5*0.25+(6-N5)*0.15)*20,0))</f>
        <v>94</v>
      </c>
      <c r="P5" s="32" t="str">
        <f>IF(O5="","",IF(O5&gt;=80,"P1 — Critical",IF(O5&gt;=65,"P2 — High",IF(O5&gt;=50,"P3 — Medium","P4 — Longer-term"))))</f>
        <v>P1 — Critical</v>
      </c>
      <c r="Q5" s="31" t="s">
        <v>591</v>
      </c>
      <c r="R5" s="31" t="s">
        <v>580</v>
      </c>
      <c r="S5" s="31" t="s">
        <v>592</v>
      </c>
      <c r="T5" s="31" t="str">
        <f>IF(P5="P1 — Critical","0–30 days",IF(P5="P2 — High","31–90 days","Post-90 days"))</f>
        <v>0–30 days</v>
      </c>
      <c r="U5" s="31" t="s">
        <v>574</v>
      </c>
      <c r="V5" s="31" t="s">
        <v>593</v>
      </c>
      <c r="W5" s="31" t="s">
        <v>594</v>
      </c>
    </row>
    <row r="6" spans="2:23" ht="39.5" customHeight="1">
      <c r="B6" s="30" t="s">
        <v>197</v>
      </c>
      <c r="C6" s="31" t="s">
        <v>631</v>
      </c>
      <c r="D6" s="31" t="s">
        <v>198</v>
      </c>
      <c r="E6" s="31" t="s">
        <v>632</v>
      </c>
      <c r="F6" s="32">
        <f>IF(B6="","",COUNTIF('1_Evidence Log'!$F$3:$F$202,B6))</f>
        <v>8</v>
      </c>
      <c r="G6" s="32">
        <f>IF(B6="","",--(COUNTIFS('1_Evidence Log'!$F$3:$F$202,B6,'1_Evidence Log'!$C$3:$C$202,"Elena Rodriguez")&gt;0)+--(COUNTIFS('1_Evidence Log'!$F$3:$F$202,B6,'1_Evidence Log'!$C$3:$C$202,"James Okonkwo")&gt;0)+--(COUNTIFS('1_Evidence Log'!$F$3:$F$202,B6,'1_Evidence Log'!$C$3:$C$202,"Marcus Thompson")&gt;0)+--(COUNTIFS('1_Evidence Log'!$F$3:$F$202,B6,'1_Evidence Log'!$C$3:$C$202,"Priya Sharma")&gt;0)+--(COUNTIFS('1_Evidence Log'!$F$3:$F$202,B6,'1_Evidence Log'!$C$3:$C$202,"Sarah")&gt;0)+--(COUNTIFS('1_Evidence Log'!$F$3:$F$202,B6,'1_Evidence Log'!$C$3:$C$202,"David Chen")&gt;0))</f>
        <v>5</v>
      </c>
      <c r="H6" s="32">
        <f>IF(B6="","",COUNTIFS('1_Evidence Log'!$F$3:$F$202,B6,'1_Evidence Log'!$J$3:$J$202,"Direct example")+COUNTIFS('1_Evidence Log'!$F$3:$F$202,B6,'1_Evidence Log'!$J$3:$J$202,"Document / artifact")+COUNTIFS('1_Evidence Log'!$F$3:$F$202,B6,'1_Evidence Log'!$J$3:$J$202,"Observed behavior")+COUNTIFS('1_Evidence Log'!$F$3:$F$202,B6,'1_Evidence Log'!$J$3:$J$202,"Metric / data"))</f>
        <v>2</v>
      </c>
      <c r="I6" s="32" t="str">
        <f>IF(B6="","",IF(AND(G6&gt;=3,H6&gt;=2),"Strong signal",IF(OR(G6&gt;=2,H6&gt;=1),"Emerging signal","Weak or unconfirmed")))</f>
        <v>Strong signal</v>
      </c>
      <c r="J6" s="32" t="s">
        <v>119</v>
      </c>
      <c r="K6" s="32">
        <v>4</v>
      </c>
      <c r="L6" s="32">
        <v>4</v>
      </c>
      <c r="M6" s="32">
        <v>4</v>
      </c>
      <c r="N6" s="32">
        <v>3</v>
      </c>
      <c r="O6" s="32">
        <f>IF(COUNT(K6:N6)&lt;4,"",ROUND((K6*0.35+L6*0.25+M6*0.25+(6-N6)*0.15)*20,0))</f>
        <v>77</v>
      </c>
      <c r="P6" s="32" t="str">
        <f>IF(O6="","",IF(O6&gt;=80,"P1 — Critical",IF(O6&gt;=65,"P2 — High",IF(O6&gt;=50,"P3 — Medium","P4 — Longer-term"))))</f>
        <v>P2 — High</v>
      </c>
      <c r="Q6" s="31" t="s">
        <v>633</v>
      </c>
      <c r="R6" s="31" t="s">
        <v>634</v>
      </c>
      <c r="S6" s="31" t="s">
        <v>573</v>
      </c>
      <c r="T6" s="31" t="str">
        <f>IF(P6="P1 — Critical","0–30 days",IF(P6="P2 — High","31–90 days","Post-90 days"))</f>
        <v>31–90 days</v>
      </c>
      <c r="U6" s="31" t="s">
        <v>599</v>
      </c>
      <c r="V6" s="31" t="s">
        <v>635</v>
      </c>
      <c r="W6" s="31" t="s">
        <v>636</v>
      </c>
    </row>
    <row r="7" spans="2:23" ht="39.5" customHeight="1">
      <c r="B7" s="30" t="s">
        <v>339</v>
      </c>
      <c r="C7" s="31" t="s">
        <v>637</v>
      </c>
      <c r="D7" s="31" t="s">
        <v>638</v>
      </c>
      <c r="E7" s="31" t="s">
        <v>639</v>
      </c>
      <c r="F7" s="32">
        <f>IF(B7="","",COUNTIF('1_Evidence Log'!$F$3:$F$202,B7))</f>
        <v>5</v>
      </c>
      <c r="G7" s="32">
        <f>IF(B7="","",--(COUNTIFS('1_Evidence Log'!$F$3:$F$202,B7,'1_Evidence Log'!$C$3:$C$202,"Elena Rodriguez")&gt;0)+--(COUNTIFS('1_Evidence Log'!$F$3:$F$202,B7,'1_Evidence Log'!$C$3:$C$202,"James Okonkwo")&gt;0)+--(COUNTIFS('1_Evidence Log'!$F$3:$F$202,B7,'1_Evidence Log'!$C$3:$C$202,"Marcus Thompson")&gt;0)+--(COUNTIFS('1_Evidence Log'!$F$3:$F$202,B7,'1_Evidence Log'!$C$3:$C$202,"Priya Sharma")&gt;0)+--(COUNTIFS('1_Evidence Log'!$F$3:$F$202,B7,'1_Evidence Log'!$C$3:$C$202,"Sarah")&gt;0)+--(COUNTIFS('1_Evidence Log'!$F$3:$F$202,B7,'1_Evidence Log'!$C$3:$C$202,"David Chen")&gt;0))</f>
        <v>4</v>
      </c>
      <c r="H7" s="32">
        <f>IF(B7="","",COUNTIFS('1_Evidence Log'!$F$3:$F$202,B7,'1_Evidence Log'!$J$3:$J$202,"Direct example")+COUNTIFS('1_Evidence Log'!$F$3:$F$202,B7,'1_Evidence Log'!$J$3:$J$202,"Document / artifact")+COUNTIFS('1_Evidence Log'!$F$3:$F$202,B7,'1_Evidence Log'!$J$3:$J$202,"Observed behavior")+COUNTIFS('1_Evidence Log'!$F$3:$F$202,B7,'1_Evidence Log'!$J$3:$J$202,"Metric / data"))</f>
        <v>1</v>
      </c>
      <c r="I7" s="32" t="str">
        <f>IF(B7="","",IF(AND(G7&gt;=3,H7&gt;=2),"Strong signal",IF(OR(G7&gt;=2,H7&gt;=1),"Emerging signal","Weak or unconfirmed")))</f>
        <v>Emerging signal</v>
      </c>
      <c r="J7" s="32" t="s">
        <v>119</v>
      </c>
      <c r="K7" s="32">
        <v>4</v>
      </c>
      <c r="L7" s="32">
        <v>4</v>
      </c>
      <c r="M7" s="32">
        <v>4</v>
      </c>
      <c r="N7" s="32">
        <v>3</v>
      </c>
      <c r="O7" s="32">
        <f>IF(COUNT(K7:N7)&lt;4,"",ROUND((K7*0.35+L7*0.25+M7*0.25+(6-N7)*0.15)*20,0))</f>
        <v>77</v>
      </c>
      <c r="P7" s="32" t="str">
        <f>IF(O7="","",IF(O7&gt;=80,"P1 — Critical",IF(O7&gt;=65,"P2 — High",IF(O7&gt;=50,"P3 — Medium","P4 — Longer-term"))))</f>
        <v>P2 — High</v>
      </c>
      <c r="Q7" s="31" t="s">
        <v>640</v>
      </c>
      <c r="R7" s="31" t="s">
        <v>641</v>
      </c>
      <c r="S7" s="31" t="s">
        <v>573</v>
      </c>
      <c r="T7" s="31" t="str">
        <f>IF(P7="P1 — Critical","0–30 days",IF(P7="P2 — High","31–90 days","Post-90 days"))</f>
        <v>31–90 days</v>
      </c>
      <c r="U7" s="31" t="s">
        <v>642</v>
      </c>
      <c r="V7" s="31" t="s">
        <v>643</v>
      </c>
      <c r="W7" s="31" t="s">
        <v>644</v>
      </c>
    </row>
    <row r="8" spans="2:23" ht="39.5" customHeight="1">
      <c r="B8" s="30" t="s">
        <v>344</v>
      </c>
      <c r="C8" s="31" t="s">
        <v>645</v>
      </c>
      <c r="D8" s="31" t="s">
        <v>198</v>
      </c>
      <c r="E8" s="31" t="s">
        <v>646</v>
      </c>
      <c r="F8" s="32">
        <f>IF(B8="","",COUNTIF('1_Evidence Log'!$F$3:$F$202,B8))</f>
        <v>2</v>
      </c>
      <c r="G8" s="32">
        <f>IF(B8="","",--(COUNTIFS('1_Evidence Log'!$F$3:$F$202,B8,'1_Evidence Log'!$C$3:$C$202,"Elena Rodriguez")&gt;0)+--(COUNTIFS('1_Evidence Log'!$F$3:$F$202,B8,'1_Evidence Log'!$C$3:$C$202,"James Okonkwo")&gt;0)+--(COUNTIFS('1_Evidence Log'!$F$3:$F$202,B8,'1_Evidence Log'!$C$3:$C$202,"Marcus Thompson")&gt;0)+--(COUNTIFS('1_Evidence Log'!$F$3:$F$202,B8,'1_Evidence Log'!$C$3:$C$202,"Priya Sharma")&gt;0)+--(COUNTIFS('1_Evidence Log'!$F$3:$F$202,B8,'1_Evidence Log'!$C$3:$C$202,"Sarah")&gt;0)+--(COUNTIFS('1_Evidence Log'!$F$3:$F$202,B8,'1_Evidence Log'!$C$3:$C$202,"David Chen")&gt;0))</f>
        <v>2</v>
      </c>
      <c r="H8" s="32">
        <f>IF(B8="","",COUNTIFS('1_Evidence Log'!$F$3:$F$202,B8,'1_Evidence Log'!$J$3:$J$202,"Direct example")+COUNTIFS('1_Evidence Log'!$F$3:$F$202,B8,'1_Evidence Log'!$J$3:$J$202,"Document / artifact")+COUNTIFS('1_Evidence Log'!$F$3:$F$202,B8,'1_Evidence Log'!$J$3:$J$202,"Observed behavior")+COUNTIFS('1_Evidence Log'!$F$3:$F$202,B8,'1_Evidence Log'!$J$3:$J$202,"Metric / data"))</f>
        <v>0</v>
      </c>
      <c r="I8" s="32" t="str">
        <f>IF(B8="","",IF(AND(G8&gt;=3,H8&gt;=2),"Strong signal",IF(OR(G8&gt;=2,H8&gt;=1),"Emerging signal","Weak or unconfirmed")))</f>
        <v>Emerging signal</v>
      </c>
      <c r="J8" s="32" t="s">
        <v>119</v>
      </c>
      <c r="K8" s="32">
        <v>4</v>
      </c>
      <c r="L8" s="32">
        <v>4</v>
      </c>
      <c r="M8" s="32">
        <v>4</v>
      </c>
      <c r="N8" s="32">
        <v>3</v>
      </c>
      <c r="O8" s="32">
        <f>IF(COUNT(K8:N8)&lt;4,"",ROUND((K8*0.35+L8*0.25+M8*0.25+(6-N8)*0.15)*20,0))</f>
        <v>77</v>
      </c>
      <c r="P8" s="32" t="str">
        <f>IF(O8="","",IF(O8&gt;=80,"P1 — Critical",IF(O8&gt;=65,"P2 — High",IF(O8&gt;=50,"P3 — Medium","P4 — Longer-term"))))</f>
        <v>P2 — High</v>
      </c>
      <c r="Q8" s="31" t="s">
        <v>647</v>
      </c>
      <c r="R8" s="31" t="s">
        <v>648</v>
      </c>
      <c r="S8" s="31" t="s">
        <v>592</v>
      </c>
      <c r="T8" s="31" t="str">
        <f>IF(P8="P1 — Critical","0–30 days",IF(P8="P2 — High","31–90 days","Post-90 days"))</f>
        <v>31–90 days</v>
      </c>
      <c r="U8" s="31" t="s">
        <v>642</v>
      </c>
      <c r="V8" s="31" t="s">
        <v>649</v>
      </c>
      <c r="W8" s="31" t="s">
        <v>650</v>
      </c>
    </row>
    <row r="9" spans="2:23" ht="39.5" customHeight="1">
      <c r="B9" s="30" t="s">
        <v>490</v>
      </c>
      <c r="C9" s="31" t="s">
        <v>743</v>
      </c>
      <c r="D9" s="31" t="s">
        <v>491</v>
      </c>
      <c r="E9" s="31" t="s">
        <v>744</v>
      </c>
      <c r="F9" s="32">
        <f>IF(B9="","",COUNTIF('1_Evidence Log'!$F$3:$F$202,B9))</f>
        <v>2</v>
      </c>
      <c r="G9" s="32">
        <f>IF(B9="","",--(COUNTIFS('1_Evidence Log'!$F$3:$F$202,B9,'1_Evidence Log'!$C$3:$C$202,"Elena Rodriguez")&gt;0)+--(COUNTIFS('1_Evidence Log'!$F$3:$F$202,B9,'1_Evidence Log'!$C$3:$C$202,"James Okonkwo")&gt;0)+--(COUNTIFS('1_Evidence Log'!$F$3:$F$202,B9,'1_Evidence Log'!$C$3:$C$202,"Marcus Thompson")&gt;0)+--(COUNTIFS('1_Evidence Log'!$F$3:$F$202,B9,'1_Evidence Log'!$C$3:$C$202,"Priya Sharma")&gt;0)+--(COUNTIFS('1_Evidence Log'!$F$3:$F$202,B9,'1_Evidence Log'!$C$3:$C$202,"Sarah")&gt;0)+--(COUNTIFS('1_Evidence Log'!$F$3:$F$202,B9,'1_Evidence Log'!$C$3:$C$202,"David Chen")&gt;0))</f>
        <v>2</v>
      </c>
      <c r="H9" s="32">
        <f>IF(B9="","",COUNTIFS('1_Evidence Log'!$F$3:$F$202,B9,'1_Evidence Log'!$J$3:$J$202,"Direct example")+COUNTIFS('1_Evidence Log'!$F$3:$F$202,B9,'1_Evidence Log'!$J$3:$J$202,"Document / artifact")+COUNTIFS('1_Evidence Log'!$F$3:$F$202,B9,'1_Evidence Log'!$J$3:$J$202,"Observed behavior")+COUNTIFS('1_Evidence Log'!$F$3:$F$202,B9,'1_Evidence Log'!$J$3:$J$202,"Metric / data"))</f>
        <v>0</v>
      </c>
      <c r="I9" s="32" t="str">
        <f>IF(B9="","",IF(AND(G9&gt;=3,H9&gt;=2),"Strong signal",IF(OR(G9&gt;=2,H9&gt;=1),"Emerging signal","Weak or unconfirmed")))</f>
        <v>Emerging signal</v>
      </c>
      <c r="J9" s="32" t="s">
        <v>119</v>
      </c>
      <c r="K9" s="32">
        <v>4</v>
      </c>
      <c r="L9" s="32">
        <v>4</v>
      </c>
      <c r="M9" s="32">
        <v>4</v>
      </c>
      <c r="N9" s="32">
        <v>3</v>
      </c>
      <c r="O9" s="32">
        <f>IF(COUNT(K9:N9)&lt;4,"",ROUND((K9*0.35+L9*0.25+M9*0.25+(6-N9)*0.15)*20,0))</f>
        <v>77</v>
      </c>
      <c r="P9" s="32" t="str">
        <f>IF(O9="","",IF(O9&gt;=80,"P1 — Critical",IF(O9&gt;=65,"P2 — High",IF(O9&gt;=50,"P3 — Medium","P4 — Longer-term"))))</f>
        <v>P2 — High</v>
      </c>
      <c r="Q9" s="31" t="s">
        <v>745</v>
      </c>
      <c r="R9" s="31" t="s">
        <v>746</v>
      </c>
      <c r="S9" s="31" t="s">
        <v>592</v>
      </c>
      <c r="T9" s="31" t="str">
        <f>IF(P9="P1 — Critical","0–30 days",IF(P9="P2 — High","31–90 days","Post-90 days"))</f>
        <v>31–90 days</v>
      </c>
      <c r="U9" s="31" t="s">
        <v>610</v>
      </c>
      <c r="V9" s="31" t="s">
        <v>747</v>
      </c>
      <c r="W9" s="31" t="s">
        <v>748</v>
      </c>
    </row>
    <row r="10" spans="2:23" ht="39.5" customHeight="1">
      <c r="B10" s="30" t="s">
        <v>217</v>
      </c>
      <c r="C10" s="31" t="s">
        <v>657</v>
      </c>
      <c r="D10" s="31" t="s">
        <v>218</v>
      </c>
      <c r="E10" s="31" t="s">
        <v>658</v>
      </c>
      <c r="F10" s="32">
        <f>IF(B10="","",COUNTIF('1_Evidence Log'!$F$3:$F$202,B10))</f>
        <v>6</v>
      </c>
      <c r="G10" s="32">
        <f>IF(B10="","",--(COUNTIFS('1_Evidence Log'!$F$3:$F$202,B10,'1_Evidence Log'!$C$3:$C$202,"Elena Rodriguez")&gt;0)+--(COUNTIFS('1_Evidence Log'!$F$3:$F$202,B10,'1_Evidence Log'!$C$3:$C$202,"James Okonkwo")&gt;0)+--(COUNTIFS('1_Evidence Log'!$F$3:$F$202,B10,'1_Evidence Log'!$C$3:$C$202,"Marcus Thompson")&gt;0)+--(COUNTIFS('1_Evidence Log'!$F$3:$F$202,B10,'1_Evidence Log'!$C$3:$C$202,"Priya Sharma")&gt;0)+--(COUNTIFS('1_Evidence Log'!$F$3:$F$202,B10,'1_Evidence Log'!$C$3:$C$202,"Sarah")&gt;0)+--(COUNTIFS('1_Evidence Log'!$F$3:$F$202,B10,'1_Evidence Log'!$C$3:$C$202,"David Chen")&gt;0))</f>
        <v>2</v>
      </c>
      <c r="H10" s="32">
        <f>IF(B10="","",COUNTIFS('1_Evidence Log'!$F$3:$F$202,B10,'1_Evidence Log'!$J$3:$J$202,"Direct example")+COUNTIFS('1_Evidence Log'!$F$3:$F$202,B10,'1_Evidence Log'!$J$3:$J$202,"Document / artifact")+COUNTIFS('1_Evidence Log'!$F$3:$F$202,B10,'1_Evidence Log'!$J$3:$J$202,"Observed behavior")+COUNTIFS('1_Evidence Log'!$F$3:$F$202,B10,'1_Evidence Log'!$J$3:$J$202,"Metric / data"))</f>
        <v>2</v>
      </c>
      <c r="I10" s="32" t="str">
        <f>IF(B10="","",IF(AND(G10&gt;=3,H10&gt;=2),"Strong signal",IF(OR(G10&gt;=2,H10&gt;=1),"Emerging signal","Weak or unconfirmed")))</f>
        <v>Emerging signal</v>
      </c>
      <c r="J10" s="32" t="s">
        <v>119</v>
      </c>
      <c r="K10" s="32">
        <v>4</v>
      </c>
      <c r="L10" s="32">
        <v>4</v>
      </c>
      <c r="M10" s="32">
        <v>4</v>
      </c>
      <c r="N10" s="32">
        <v>3</v>
      </c>
      <c r="O10" s="32">
        <f>IF(COUNT(K10:N10)&lt;4,"",ROUND((K10*0.35+L10*0.25+M10*0.25+(6-N10)*0.15)*20,0))</f>
        <v>77</v>
      </c>
      <c r="P10" s="32" t="str">
        <f>IF(O10="","",IF(O10&gt;=80,"P1 — Critical",IF(O10&gt;=65,"P2 — High",IF(O10&gt;=50,"P3 — Medium","P4 — Longer-term"))))</f>
        <v>P2 — High</v>
      </c>
      <c r="Q10" s="31" t="s">
        <v>659</v>
      </c>
      <c r="R10" s="31" t="s">
        <v>660</v>
      </c>
      <c r="S10" s="31" t="s">
        <v>592</v>
      </c>
      <c r="T10" s="31" t="str">
        <f>IF(P10="P1 — Critical","0–30 days",IF(P10="P2 — High","31–90 days","Post-90 days"))</f>
        <v>31–90 days</v>
      </c>
      <c r="U10" s="31" t="s">
        <v>642</v>
      </c>
      <c r="V10" s="31" t="s">
        <v>661</v>
      </c>
      <c r="W10" s="31" t="s">
        <v>662</v>
      </c>
    </row>
    <row r="11" spans="2:23" ht="39.5" customHeight="1">
      <c r="B11" s="30" t="s">
        <v>227</v>
      </c>
      <c r="C11" s="31" t="s">
        <v>228</v>
      </c>
      <c r="D11" s="31" t="s">
        <v>218</v>
      </c>
      <c r="E11" s="31" t="s">
        <v>663</v>
      </c>
      <c r="F11" s="32">
        <f>IF(B11="","",COUNTIF('1_Evidence Log'!$F$3:$F$202,B11))</f>
        <v>2</v>
      </c>
      <c r="G11" s="32">
        <f>IF(B11="","",--(COUNTIFS('1_Evidence Log'!$F$3:$F$202,B11,'1_Evidence Log'!$C$3:$C$202,"Elena Rodriguez")&gt;0)+--(COUNTIFS('1_Evidence Log'!$F$3:$F$202,B11,'1_Evidence Log'!$C$3:$C$202,"James Okonkwo")&gt;0)+--(COUNTIFS('1_Evidence Log'!$F$3:$F$202,B11,'1_Evidence Log'!$C$3:$C$202,"Marcus Thompson")&gt;0)+--(COUNTIFS('1_Evidence Log'!$F$3:$F$202,B11,'1_Evidence Log'!$C$3:$C$202,"Priya Sharma")&gt;0)+--(COUNTIFS('1_Evidence Log'!$F$3:$F$202,B11,'1_Evidence Log'!$C$3:$C$202,"Sarah")&gt;0)+--(COUNTIFS('1_Evidence Log'!$F$3:$F$202,B11,'1_Evidence Log'!$C$3:$C$202,"David Chen")&gt;0))</f>
        <v>1</v>
      </c>
      <c r="H11" s="32">
        <f>IF(B11="","",COUNTIFS('1_Evidence Log'!$F$3:$F$202,B11,'1_Evidence Log'!$J$3:$J$202,"Direct example")+COUNTIFS('1_Evidence Log'!$F$3:$F$202,B11,'1_Evidence Log'!$J$3:$J$202,"Document / artifact")+COUNTIFS('1_Evidence Log'!$F$3:$F$202,B11,'1_Evidence Log'!$J$3:$J$202,"Observed behavior")+COUNTIFS('1_Evidence Log'!$F$3:$F$202,B11,'1_Evidence Log'!$J$3:$J$202,"Metric / data"))</f>
        <v>2</v>
      </c>
      <c r="I11" s="32" t="str">
        <f>IF(B11="","",IF(AND(G11&gt;=3,H11&gt;=2),"Strong signal",IF(OR(G11&gt;=2,H11&gt;=1),"Emerging signal","Weak or unconfirmed")))</f>
        <v>Emerging signal</v>
      </c>
      <c r="J11" s="32" t="s">
        <v>142</v>
      </c>
      <c r="K11" s="32">
        <v>4</v>
      </c>
      <c r="L11" s="32">
        <v>4</v>
      </c>
      <c r="M11" s="32">
        <v>4</v>
      </c>
      <c r="N11" s="32">
        <v>3</v>
      </c>
      <c r="O11" s="32">
        <f>IF(COUNT(K11:N11)&lt;4,"",ROUND((K11*0.35+L11*0.25+M11*0.25+(6-N11)*0.15)*20,0))</f>
        <v>77</v>
      </c>
      <c r="P11" s="32" t="str">
        <f>IF(O11="","",IF(O11&gt;=80,"P1 — Critical",IF(O11&gt;=65,"P2 — High",IF(O11&gt;=50,"P3 — Medium","P4 — Longer-term"))))</f>
        <v>P2 — High</v>
      </c>
      <c r="Q11" s="31" t="s">
        <v>664</v>
      </c>
      <c r="R11" s="31" t="s">
        <v>665</v>
      </c>
      <c r="S11" s="31" t="s">
        <v>573</v>
      </c>
      <c r="T11" s="31" t="str">
        <f>IF(P11="P1 — Critical","0–30 days",IF(P11="P2 — High","31–90 days","Post-90 days"))</f>
        <v>31–90 days</v>
      </c>
      <c r="U11" s="31" t="s">
        <v>574</v>
      </c>
      <c r="V11" s="31" t="s">
        <v>666</v>
      </c>
      <c r="W11" s="31" t="s">
        <v>667</v>
      </c>
    </row>
    <row r="12" spans="2:23" ht="39.5" customHeight="1">
      <c r="B12" s="30" t="s">
        <v>128</v>
      </c>
      <c r="C12" s="31" t="s">
        <v>697</v>
      </c>
      <c r="D12" s="31" t="s">
        <v>129</v>
      </c>
      <c r="E12" s="31" t="s">
        <v>698</v>
      </c>
      <c r="F12" s="32">
        <f>IF(B12="","",COUNTIF('1_Evidence Log'!$F$3:$F$202,B12))</f>
        <v>4</v>
      </c>
      <c r="G12" s="32">
        <f>IF(B12="","",--(COUNTIFS('1_Evidence Log'!$F$3:$F$202,B12,'1_Evidence Log'!$C$3:$C$202,"Elena Rodriguez")&gt;0)+--(COUNTIFS('1_Evidence Log'!$F$3:$F$202,B12,'1_Evidence Log'!$C$3:$C$202,"James Okonkwo")&gt;0)+--(COUNTIFS('1_Evidence Log'!$F$3:$F$202,B12,'1_Evidence Log'!$C$3:$C$202,"Marcus Thompson")&gt;0)+--(COUNTIFS('1_Evidence Log'!$F$3:$F$202,B12,'1_Evidence Log'!$C$3:$C$202,"Priya Sharma")&gt;0)+--(COUNTIFS('1_Evidence Log'!$F$3:$F$202,B12,'1_Evidence Log'!$C$3:$C$202,"Sarah")&gt;0)+--(COUNTIFS('1_Evidence Log'!$F$3:$F$202,B12,'1_Evidence Log'!$C$3:$C$202,"David Chen")&gt;0))</f>
        <v>2</v>
      </c>
      <c r="H12" s="32">
        <f>IF(B12="","",COUNTIFS('1_Evidence Log'!$F$3:$F$202,B12,'1_Evidence Log'!$J$3:$J$202,"Direct example")+COUNTIFS('1_Evidence Log'!$F$3:$F$202,B12,'1_Evidence Log'!$J$3:$J$202,"Document / artifact")+COUNTIFS('1_Evidence Log'!$F$3:$F$202,B12,'1_Evidence Log'!$J$3:$J$202,"Observed behavior")+COUNTIFS('1_Evidence Log'!$F$3:$F$202,B12,'1_Evidence Log'!$J$3:$J$202,"Metric / data"))</f>
        <v>3</v>
      </c>
      <c r="I12" s="32" t="str">
        <f>IF(B12="","",IF(AND(G12&gt;=3,H12&gt;=2),"Strong signal",IF(OR(G12&gt;=2,H12&gt;=1),"Emerging signal","Weak or unconfirmed")))</f>
        <v>Emerging signal</v>
      </c>
      <c r="J12" s="32" t="s">
        <v>119</v>
      </c>
      <c r="K12" s="32">
        <v>5</v>
      </c>
      <c r="L12" s="32">
        <v>5</v>
      </c>
      <c r="M12" s="32">
        <v>5</v>
      </c>
      <c r="N12" s="32">
        <v>3</v>
      </c>
      <c r="O12" s="32">
        <f>IF(COUNT(K12:N12)&lt;4,"",ROUND((K12*0.35+L12*0.25+M12*0.25+(6-N12)*0.15)*20,0))</f>
        <v>94</v>
      </c>
      <c r="P12" s="32" t="str">
        <f>IF(O12="","",IF(O12&gt;=80,"P1 — Critical",IF(O12&gt;=65,"P2 — High",IF(O12&gt;=50,"P3 — Medium","P4 — Longer-term"))))</f>
        <v>P1 — Critical</v>
      </c>
      <c r="Q12" s="31" t="s">
        <v>699</v>
      </c>
      <c r="R12" s="31" t="s">
        <v>700</v>
      </c>
      <c r="S12" s="31" t="s">
        <v>573</v>
      </c>
      <c r="T12" s="31" t="str">
        <f>IF(P12="P1 — Critical","0–30 days",IF(P12="P2 — High","31–90 days","Post-90 days"))</f>
        <v>0–30 days</v>
      </c>
      <c r="U12" s="31" t="s">
        <v>574</v>
      </c>
      <c r="V12" s="31" t="s">
        <v>701</v>
      </c>
      <c r="W12" s="31" t="s">
        <v>702</v>
      </c>
    </row>
    <row r="13" spans="2:23" ht="52.75" customHeight="1">
      <c r="B13" s="30" t="s">
        <v>203</v>
      </c>
      <c r="C13" s="31" t="s">
        <v>703</v>
      </c>
      <c r="D13" s="31" t="s">
        <v>129</v>
      </c>
      <c r="E13" s="31" t="s">
        <v>704</v>
      </c>
      <c r="F13" s="32">
        <f>IF(B13="","",COUNTIF('1_Evidence Log'!$F$3:$F$202,B13))</f>
        <v>1</v>
      </c>
      <c r="G13" s="32">
        <f>IF(B13="","",--(COUNTIFS('1_Evidence Log'!$F$3:$F$202,B13,'1_Evidence Log'!$C$3:$C$202,"Elena Rodriguez")&gt;0)+--(COUNTIFS('1_Evidence Log'!$F$3:$F$202,B13,'1_Evidence Log'!$C$3:$C$202,"James Okonkwo")&gt;0)+--(COUNTIFS('1_Evidence Log'!$F$3:$F$202,B13,'1_Evidence Log'!$C$3:$C$202,"Marcus Thompson")&gt;0)+--(COUNTIFS('1_Evidence Log'!$F$3:$F$202,B13,'1_Evidence Log'!$C$3:$C$202,"Priya Sharma")&gt;0)+--(COUNTIFS('1_Evidence Log'!$F$3:$F$202,B13,'1_Evidence Log'!$C$3:$C$202,"Sarah")&gt;0)+--(COUNTIFS('1_Evidence Log'!$F$3:$F$202,B13,'1_Evidence Log'!$C$3:$C$202,"David Chen")&gt;0))</f>
        <v>1</v>
      </c>
      <c r="H13" s="32">
        <f>IF(B13="","",COUNTIFS('1_Evidence Log'!$F$3:$F$202,B13,'1_Evidence Log'!$J$3:$J$202,"Direct example")+COUNTIFS('1_Evidence Log'!$F$3:$F$202,B13,'1_Evidence Log'!$J$3:$J$202,"Document / artifact")+COUNTIFS('1_Evidence Log'!$F$3:$F$202,B13,'1_Evidence Log'!$J$3:$J$202,"Observed behavior")+COUNTIFS('1_Evidence Log'!$F$3:$F$202,B13,'1_Evidence Log'!$J$3:$J$202,"Metric / data"))</f>
        <v>0</v>
      </c>
      <c r="I13" s="32" t="str">
        <f>IF(B13="","",IF(AND(G13&gt;=3,H13&gt;=2),"Strong signal",IF(OR(G13&gt;=2,H13&gt;=1),"Emerging signal","Weak or unconfirmed")))</f>
        <v>Weak or unconfirmed</v>
      </c>
      <c r="J13" s="32" t="s">
        <v>682</v>
      </c>
      <c r="K13" s="32">
        <v>3</v>
      </c>
      <c r="L13" s="32">
        <v>2</v>
      </c>
      <c r="M13" s="32">
        <v>3</v>
      </c>
      <c r="N13" s="32">
        <v>5</v>
      </c>
      <c r="O13" s="32">
        <f>IF(COUNT(K13:N13)&lt;4,"",ROUND((K13*0.35+L13*0.25+M13*0.25+(6-N13)*0.15)*20,0))</f>
        <v>49</v>
      </c>
      <c r="P13" s="32" t="str">
        <f>IF(O13="","",IF(O13&gt;=80,"P1 — Critical",IF(O13&gt;=65,"P2 — High",IF(O13&gt;=50,"P3 — Medium","P4 — Longer-term"))))</f>
        <v>P4 — Longer-term</v>
      </c>
      <c r="Q13" s="31" t="s">
        <v>705</v>
      </c>
      <c r="R13" s="31" t="s">
        <v>706</v>
      </c>
      <c r="S13" s="31" t="s">
        <v>592</v>
      </c>
      <c r="T13" s="31" t="str">
        <f>IF(P13="P1 — Critical","0–30 days",IF(P13="P2 — High","31–90 days","Post-90 days"))</f>
        <v>Post-90 days</v>
      </c>
      <c r="U13" s="31" t="s">
        <v>610</v>
      </c>
      <c r="V13" s="31" t="s">
        <v>707</v>
      </c>
      <c r="W13" s="31" t="s">
        <v>708</v>
      </c>
    </row>
    <row r="14" spans="2:23" ht="52.75" customHeight="1">
      <c r="B14" s="30" t="s">
        <v>484</v>
      </c>
      <c r="C14" s="31" t="s">
        <v>737</v>
      </c>
      <c r="D14" s="31" t="s">
        <v>485</v>
      </c>
      <c r="E14" s="31" t="s">
        <v>738</v>
      </c>
      <c r="F14" s="32">
        <f>IF(B14="","",COUNTIF('1_Evidence Log'!$F$3:$F$202,B14))</f>
        <v>1</v>
      </c>
      <c r="G14" s="32">
        <f>IF(B14="","",--(COUNTIFS('1_Evidence Log'!$F$3:$F$202,B14,'1_Evidence Log'!$C$3:$C$202,"Elena Rodriguez")&gt;0)+--(COUNTIFS('1_Evidence Log'!$F$3:$F$202,B14,'1_Evidence Log'!$C$3:$C$202,"James Okonkwo")&gt;0)+--(COUNTIFS('1_Evidence Log'!$F$3:$F$202,B14,'1_Evidence Log'!$C$3:$C$202,"Marcus Thompson")&gt;0)+--(COUNTIFS('1_Evidence Log'!$F$3:$F$202,B14,'1_Evidence Log'!$C$3:$C$202,"Priya Sharma")&gt;0)+--(COUNTIFS('1_Evidence Log'!$F$3:$F$202,B14,'1_Evidence Log'!$C$3:$C$202,"Sarah")&gt;0)+--(COUNTIFS('1_Evidence Log'!$F$3:$F$202,B14,'1_Evidence Log'!$C$3:$C$202,"David Chen")&gt;0))</f>
        <v>1</v>
      </c>
      <c r="H14" s="32">
        <f>IF(B14="","",COUNTIFS('1_Evidence Log'!$F$3:$F$202,B14,'1_Evidence Log'!$J$3:$J$202,"Direct example")+COUNTIFS('1_Evidence Log'!$F$3:$F$202,B14,'1_Evidence Log'!$J$3:$J$202,"Document / artifact")+COUNTIFS('1_Evidence Log'!$F$3:$F$202,B14,'1_Evidence Log'!$J$3:$J$202,"Observed behavior")+COUNTIFS('1_Evidence Log'!$F$3:$F$202,B14,'1_Evidence Log'!$J$3:$J$202,"Metric / data"))</f>
        <v>1</v>
      </c>
      <c r="I14" s="32" t="str">
        <f>IF(B14="","",IF(AND(G14&gt;=3,H14&gt;=2),"Strong signal",IF(OR(G14&gt;=2,H14&gt;=1),"Emerging signal","Weak or unconfirmed")))</f>
        <v>Emerging signal</v>
      </c>
      <c r="J14" s="32" t="s">
        <v>142</v>
      </c>
      <c r="K14" s="32">
        <v>4</v>
      </c>
      <c r="L14" s="32">
        <v>4</v>
      </c>
      <c r="M14" s="32">
        <v>4</v>
      </c>
      <c r="N14" s="32">
        <v>3</v>
      </c>
      <c r="O14" s="32">
        <f>IF(COUNT(K14:N14)&lt;4,"",ROUND((K14*0.35+L14*0.25+M14*0.25+(6-N14)*0.15)*20,0))</f>
        <v>77</v>
      </c>
      <c r="P14" s="32" t="str">
        <f>IF(O14="","",IF(O14&gt;=80,"P1 — Critical",IF(O14&gt;=65,"P2 — High",IF(O14&gt;=50,"P3 — Medium","P4 — Longer-term"))))</f>
        <v>P2 — High</v>
      </c>
      <c r="Q14" s="31" t="s">
        <v>739</v>
      </c>
      <c r="R14" s="31" t="s">
        <v>740</v>
      </c>
      <c r="S14" s="31" t="s">
        <v>592</v>
      </c>
      <c r="T14" s="31" t="str">
        <f>IF(P14="P1 — Critical","0–30 days",IF(P14="P2 — High","31–90 days","Post-90 days"))</f>
        <v>31–90 days</v>
      </c>
      <c r="U14" s="31" t="s">
        <v>610</v>
      </c>
      <c r="V14" s="31" t="s">
        <v>741</v>
      </c>
      <c r="W14" s="31" t="s">
        <v>742</v>
      </c>
    </row>
    <row r="15" spans="2:23" ht="39.5" customHeight="1">
      <c r="B15" s="30" t="s">
        <v>181</v>
      </c>
      <c r="C15" s="31" t="s">
        <v>749</v>
      </c>
      <c r="D15" s="31" t="s">
        <v>182</v>
      </c>
      <c r="E15" s="31" t="s">
        <v>750</v>
      </c>
      <c r="F15" s="32">
        <f>IF(B15="","",COUNTIF('1_Evidence Log'!$F$3:$F$202,B15))</f>
        <v>1</v>
      </c>
      <c r="G15" s="32">
        <f>IF(B15="","",--(COUNTIFS('1_Evidence Log'!$F$3:$F$202,B15,'1_Evidence Log'!$C$3:$C$202,"Elena Rodriguez")&gt;0)+--(COUNTIFS('1_Evidence Log'!$F$3:$F$202,B15,'1_Evidence Log'!$C$3:$C$202,"James Okonkwo")&gt;0)+--(COUNTIFS('1_Evidence Log'!$F$3:$F$202,B15,'1_Evidence Log'!$C$3:$C$202,"Marcus Thompson")&gt;0)+--(COUNTIFS('1_Evidence Log'!$F$3:$F$202,B15,'1_Evidence Log'!$C$3:$C$202,"Priya Sharma")&gt;0)+--(COUNTIFS('1_Evidence Log'!$F$3:$F$202,B15,'1_Evidence Log'!$C$3:$C$202,"Sarah")&gt;0)+--(COUNTIFS('1_Evidence Log'!$F$3:$F$202,B15,'1_Evidence Log'!$C$3:$C$202,"David Chen")&gt;0))</f>
        <v>1</v>
      </c>
      <c r="H15" s="32">
        <f>IF(B15="","",COUNTIFS('1_Evidence Log'!$F$3:$F$202,B15,'1_Evidence Log'!$J$3:$J$202,"Direct example")+COUNTIFS('1_Evidence Log'!$F$3:$F$202,B15,'1_Evidence Log'!$J$3:$J$202,"Document / artifact")+COUNTIFS('1_Evidence Log'!$F$3:$F$202,B15,'1_Evidence Log'!$J$3:$J$202,"Observed behavior")+COUNTIFS('1_Evidence Log'!$F$3:$F$202,B15,'1_Evidence Log'!$J$3:$J$202,"Metric / data"))</f>
        <v>0</v>
      </c>
      <c r="I15" s="32" t="str">
        <f>IF(B15="","",IF(AND(G15&gt;=3,H15&gt;=2),"Strong signal",IF(OR(G15&gt;=2,H15&gt;=1),"Emerging signal","Weak or unconfirmed")))</f>
        <v>Weak or unconfirmed</v>
      </c>
      <c r="J15" s="32" t="s">
        <v>682</v>
      </c>
      <c r="K15" s="32">
        <v>3</v>
      </c>
      <c r="L15" s="32">
        <v>2</v>
      </c>
      <c r="M15" s="32">
        <v>3</v>
      </c>
      <c r="N15" s="32">
        <v>5</v>
      </c>
      <c r="O15" s="32">
        <f>IF(COUNT(K15:N15)&lt;4,"",ROUND((K15*0.35+L15*0.25+M15*0.25+(6-N15)*0.15)*20,0))</f>
        <v>49</v>
      </c>
      <c r="P15" s="32" t="str">
        <f>IF(O15="","",IF(O15&gt;=80,"P1 — Critical",IF(O15&gt;=65,"P2 — High",IF(O15&gt;=50,"P3 — Medium","P4 — Longer-term"))))</f>
        <v>P4 — Longer-term</v>
      </c>
      <c r="Q15" s="31" t="s">
        <v>751</v>
      </c>
      <c r="R15" s="31" t="s">
        <v>752</v>
      </c>
      <c r="S15" s="31" t="s">
        <v>592</v>
      </c>
      <c r="T15" s="31" t="str">
        <f>IF(P15="P1 — Critical","0–30 days",IF(P15="P2 — High","31–90 days","Post-90 days"))</f>
        <v>Post-90 days</v>
      </c>
      <c r="U15" s="31" t="s">
        <v>610</v>
      </c>
      <c r="V15" s="31" t="s">
        <v>753</v>
      </c>
      <c r="W15" s="31" t="s">
        <v>754</v>
      </c>
    </row>
    <row r="16" spans="2:23" ht="52.75" customHeight="1">
      <c r="B16" s="30" t="s">
        <v>474</v>
      </c>
      <c r="C16" s="31" t="s">
        <v>731</v>
      </c>
      <c r="D16" s="31" t="s">
        <v>475</v>
      </c>
      <c r="E16" s="31" t="s">
        <v>732</v>
      </c>
      <c r="F16" s="32">
        <f>IF(B16="","",COUNTIF('1_Evidence Log'!$F$3:$F$202,B16))</f>
        <v>2</v>
      </c>
      <c r="G16" s="32">
        <f>IF(B16="","",--(COUNTIFS('1_Evidence Log'!$F$3:$F$202,B16,'1_Evidence Log'!$C$3:$C$202,"Elena Rodriguez")&gt;0)+--(COUNTIFS('1_Evidence Log'!$F$3:$F$202,B16,'1_Evidence Log'!$C$3:$C$202,"James Okonkwo")&gt;0)+--(COUNTIFS('1_Evidence Log'!$F$3:$F$202,B16,'1_Evidence Log'!$C$3:$C$202,"Marcus Thompson")&gt;0)+--(COUNTIFS('1_Evidence Log'!$F$3:$F$202,B16,'1_Evidence Log'!$C$3:$C$202,"Priya Sharma")&gt;0)+--(COUNTIFS('1_Evidence Log'!$F$3:$F$202,B16,'1_Evidence Log'!$C$3:$C$202,"Sarah")&gt;0)+--(COUNTIFS('1_Evidence Log'!$F$3:$F$202,B16,'1_Evidence Log'!$C$3:$C$202,"David Chen")&gt;0))</f>
        <v>1</v>
      </c>
      <c r="H16" s="32">
        <f>IF(B16="","",COUNTIFS('1_Evidence Log'!$F$3:$F$202,B16,'1_Evidence Log'!$J$3:$J$202,"Direct example")+COUNTIFS('1_Evidence Log'!$F$3:$F$202,B16,'1_Evidence Log'!$J$3:$J$202,"Document / artifact")+COUNTIFS('1_Evidence Log'!$F$3:$F$202,B16,'1_Evidence Log'!$J$3:$J$202,"Observed behavior")+COUNTIFS('1_Evidence Log'!$F$3:$F$202,B16,'1_Evidence Log'!$J$3:$J$202,"Metric / data"))</f>
        <v>0</v>
      </c>
      <c r="I16" s="32" t="str">
        <f>IF(B16="","",IF(AND(G16&gt;=3,H16&gt;=2),"Strong signal",IF(OR(G16&gt;=2,H16&gt;=1),"Emerging signal","Weak or unconfirmed")))</f>
        <v>Weak or unconfirmed</v>
      </c>
      <c r="J16" s="32" t="s">
        <v>142</v>
      </c>
      <c r="K16" s="32">
        <v>3</v>
      </c>
      <c r="L16" s="32">
        <v>3</v>
      </c>
      <c r="M16" s="32">
        <v>4</v>
      </c>
      <c r="N16" s="32">
        <v>4</v>
      </c>
      <c r="O16" s="32">
        <f>IF(COUNT(K16:N16)&lt;4,"",ROUND((K16*0.35+L16*0.25+M16*0.25+(6-N16)*0.15)*20,0))</f>
        <v>62</v>
      </c>
      <c r="P16" s="32" t="str">
        <f>IF(O16="","",IF(O16&gt;=80,"P1 — Critical",IF(O16&gt;=65,"P2 — High",IF(O16&gt;=50,"P3 — Medium","P4 — Longer-term"))))</f>
        <v>P3 — Medium</v>
      </c>
      <c r="Q16" s="31" t="s">
        <v>733</v>
      </c>
      <c r="R16" s="31" t="s">
        <v>734</v>
      </c>
      <c r="S16" s="31" t="s">
        <v>592</v>
      </c>
      <c r="T16" s="31" t="str">
        <f>IF(P16="P1 — Critical","0–30 days",IF(P16="P2 — High","31–90 days","Post-90 days"))</f>
        <v>Post-90 days</v>
      </c>
      <c r="U16" s="31" t="s">
        <v>610</v>
      </c>
      <c r="V16" s="31" t="s">
        <v>735</v>
      </c>
      <c r="W16" s="31" t="s">
        <v>736</v>
      </c>
    </row>
    <row r="17" spans="2:23" ht="39.5" customHeight="1">
      <c r="B17" s="30" t="s">
        <v>150</v>
      </c>
      <c r="C17" s="31" t="s">
        <v>709</v>
      </c>
      <c r="D17" s="31" t="s">
        <v>151</v>
      </c>
      <c r="E17" s="31" t="s">
        <v>710</v>
      </c>
      <c r="F17" s="32">
        <f>IF(B17="","",COUNTIF('1_Evidence Log'!$F$3:$F$202,B17))</f>
        <v>3</v>
      </c>
      <c r="G17" s="32">
        <f>IF(B17="","",--(COUNTIFS('1_Evidence Log'!$F$3:$F$202,B17,'1_Evidence Log'!$C$3:$C$202,"Elena Rodriguez")&gt;0)+--(COUNTIFS('1_Evidence Log'!$F$3:$F$202,B17,'1_Evidence Log'!$C$3:$C$202,"James Okonkwo")&gt;0)+--(COUNTIFS('1_Evidence Log'!$F$3:$F$202,B17,'1_Evidence Log'!$C$3:$C$202,"Marcus Thompson")&gt;0)+--(COUNTIFS('1_Evidence Log'!$F$3:$F$202,B17,'1_Evidence Log'!$C$3:$C$202,"Priya Sharma")&gt;0)+--(COUNTIFS('1_Evidence Log'!$F$3:$F$202,B17,'1_Evidence Log'!$C$3:$C$202,"Sarah")&gt;0)+--(COUNTIFS('1_Evidence Log'!$F$3:$F$202,B17,'1_Evidence Log'!$C$3:$C$202,"David Chen")&gt;0))</f>
        <v>3</v>
      </c>
      <c r="H17" s="32">
        <f>IF(B17="","",COUNTIFS('1_Evidence Log'!$F$3:$F$202,B17,'1_Evidence Log'!$J$3:$J$202,"Direct example")+COUNTIFS('1_Evidence Log'!$F$3:$F$202,B17,'1_Evidence Log'!$J$3:$J$202,"Document / artifact")+COUNTIFS('1_Evidence Log'!$F$3:$F$202,B17,'1_Evidence Log'!$J$3:$J$202,"Observed behavior")+COUNTIFS('1_Evidence Log'!$F$3:$F$202,B17,'1_Evidence Log'!$J$3:$J$202,"Metric / data"))</f>
        <v>3</v>
      </c>
      <c r="I17" s="32" t="str">
        <f>IF(B17="","",IF(AND(G17&gt;=3,H17&gt;=2),"Strong signal",IF(OR(G17&gt;=2,H17&gt;=1),"Emerging signal","Weak or unconfirmed")))</f>
        <v>Strong signal</v>
      </c>
      <c r="J17" s="32" t="s">
        <v>119</v>
      </c>
      <c r="K17" s="32">
        <v>5</v>
      </c>
      <c r="L17" s="32">
        <v>5</v>
      </c>
      <c r="M17" s="32">
        <v>5</v>
      </c>
      <c r="N17" s="32">
        <v>3</v>
      </c>
      <c r="O17" s="32">
        <f>IF(COUNT(K17:N17)&lt;4,"",ROUND((K17*0.35+L17*0.25+M17*0.25+(6-N17)*0.15)*20,0))</f>
        <v>94</v>
      </c>
      <c r="P17" s="32" t="str">
        <f>IF(O17="","",IF(O17&gt;=80,"P1 — Critical",IF(O17&gt;=65,"P2 — High",IF(O17&gt;=50,"P3 — Medium","P4 — Longer-term"))))</f>
        <v>P1 — Critical</v>
      </c>
      <c r="Q17" s="31" t="s">
        <v>711</v>
      </c>
      <c r="R17" s="31" t="s">
        <v>712</v>
      </c>
      <c r="S17" s="31" t="s">
        <v>573</v>
      </c>
      <c r="T17" s="31" t="str">
        <f>IF(P17="P1 — Critical","0–30 days",IF(P17="P2 — High","31–90 days","Post-90 days"))</f>
        <v>0–30 days</v>
      </c>
      <c r="U17" s="31" t="s">
        <v>574</v>
      </c>
      <c r="V17" s="31" t="s">
        <v>713</v>
      </c>
      <c r="W17" s="31" t="s">
        <v>714</v>
      </c>
    </row>
    <row r="18" spans="2:23" ht="52.75" customHeight="1">
      <c r="B18" s="30" t="s">
        <v>156</v>
      </c>
      <c r="C18" s="31" t="s">
        <v>157</v>
      </c>
      <c r="D18" s="31" t="s">
        <v>151</v>
      </c>
      <c r="E18" s="31" t="s">
        <v>715</v>
      </c>
      <c r="F18" s="32">
        <f>IF(B18="","",COUNTIF('1_Evidence Log'!$F$3:$F$202,B18))</f>
        <v>1</v>
      </c>
      <c r="G18" s="32">
        <f>IF(B18="","",--(COUNTIFS('1_Evidence Log'!$F$3:$F$202,B18,'1_Evidence Log'!$C$3:$C$202,"Elena Rodriguez")&gt;0)+--(COUNTIFS('1_Evidence Log'!$F$3:$F$202,B18,'1_Evidence Log'!$C$3:$C$202,"James Okonkwo")&gt;0)+--(COUNTIFS('1_Evidence Log'!$F$3:$F$202,B18,'1_Evidence Log'!$C$3:$C$202,"Marcus Thompson")&gt;0)+--(COUNTIFS('1_Evidence Log'!$F$3:$F$202,B18,'1_Evidence Log'!$C$3:$C$202,"Priya Sharma")&gt;0)+--(COUNTIFS('1_Evidence Log'!$F$3:$F$202,B18,'1_Evidence Log'!$C$3:$C$202,"Sarah")&gt;0)+--(COUNTIFS('1_Evidence Log'!$F$3:$F$202,B18,'1_Evidence Log'!$C$3:$C$202,"David Chen")&gt;0))</f>
        <v>1</v>
      </c>
      <c r="H18" s="32">
        <f>IF(B18="","",COUNTIFS('1_Evidence Log'!$F$3:$F$202,B18,'1_Evidence Log'!$J$3:$J$202,"Direct example")+COUNTIFS('1_Evidence Log'!$F$3:$F$202,B18,'1_Evidence Log'!$J$3:$J$202,"Document / artifact")+COUNTIFS('1_Evidence Log'!$F$3:$F$202,B18,'1_Evidence Log'!$J$3:$J$202,"Observed behavior")+COUNTIFS('1_Evidence Log'!$F$3:$F$202,B18,'1_Evidence Log'!$J$3:$J$202,"Metric / data"))</f>
        <v>0</v>
      </c>
      <c r="I18" s="32" t="str">
        <f>IF(B18="","",IF(AND(G18&gt;=3,H18&gt;=2),"Strong signal",IF(OR(G18&gt;=2,H18&gt;=1),"Emerging signal","Weak or unconfirmed")))</f>
        <v>Weak or unconfirmed</v>
      </c>
      <c r="J18" s="32" t="s">
        <v>142</v>
      </c>
      <c r="K18" s="32">
        <v>4</v>
      </c>
      <c r="L18" s="32">
        <v>4</v>
      </c>
      <c r="M18" s="32">
        <v>4</v>
      </c>
      <c r="N18" s="32">
        <v>3</v>
      </c>
      <c r="O18" s="32">
        <f>IF(COUNT(K18:N18)&lt;4,"",ROUND((K18*0.35+L18*0.25+M18*0.25+(6-N18)*0.15)*20,0))</f>
        <v>77</v>
      </c>
      <c r="P18" s="32" t="str">
        <f>IF(O18="","",IF(O18&gt;=80,"P1 — Critical",IF(O18&gt;=65,"P2 — High",IF(O18&gt;=50,"P3 — Medium","P4 — Longer-term"))))</f>
        <v>P2 — High</v>
      </c>
      <c r="Q18" s="31" t="s">
        <v>716</v>
      </c>
      <c r="R18" s="31" t="s">
        <v>717</v>
      </c>
      <c r="S18" s="31" t="s">
        <v>573</v>
      </c>
      <c r="T18" s="31" t="str">
        <f>IF(P18="P1 — Critical","0–30 days",IF(P18="P2 — High","31–90 days","Post-90 days"))</f>
        <v>31–90 days</v>
      </c>
      <c r="U18" s="31" t="s">
        <v>574</v>
      </c>
      <c r="V18" s="31" t="s">
        <v>718</v>
      </c>
      <c r="W18" s="31" t="s">
        <v>719</v>
      </c>
    </row>
    <row r="19" spans="2:23" ht="39.5" customHeight="1">
      <c r="B19" s="30" t="s">
        <v>113</v>
      </c>
      <c r="C19" s="31" t="s">
        <v>625</v>
      </c>
      <c r="D19" s="31" t="s">
        <v>114</v>
      </c>
      <c r="E19" s="31" t="s">
        <v>626</v>
      </c>
      <c r="F19" s="32">
        <f>IF(B19="","",COUNTIF('1_Evidence Log'!$F$3:$F$202,B19))</f>
        <v>12</v>
      </c>
      <c r="G19" s="32">
        <f>IF(B19="","",--(COUNTIFS('1_Evidence Log'!$F$3:$F$202,B19,'1_Evidence Log'!$C$3:$C$202,"Elena Rodriguez")&gt;0)+--(COUNTIFS('1_Evidence Log'!$F$3:$F$202,B19,'1_Evidence Log'!$C$3:$C$202,"James Okonkwo")&gt;0)+--(COUNTIFS('1_Evidence Log'!$F$3:$F$202,B19,'1_Evidence Log'!$C$3:$C$202,"Marcus Thompson")&gt;0)+--(COUNTIFS('1_Evidence Log'!$F$3:$F$202,B19,'1_Evidence Log'!$C$3:$C$202,"Priya Sharma")&gt;0)+--(COUNTIFS('1_Evidence Log'!$F$3:$F$202,B19,'1_Evidence Log'!$C$3:$C$202,"Sarah")&gt;0)+--(COUNTIFS('1_Evidence Log'!$F$3:$F$202,B19,'1_Evidence Log'!$C$3:$C$202,"David Chen")&gt;0))</f>
        <v>5</v>
      </c>
      <c r="H19" s="32">
        <f>IF(B19="","",COUNTIFS('1_Evidence Log'!$F$3:$F$202,B19,'1_Evidence Log'!$J$3:$J$202,"Direct example")+COUNTIFS('1_Evidence Log'!$F$3:$F$202,B19,'1_Evidence Log'!$J$3:$J$202,"Document / artifact")+COUNTIFS('1_Evidence Log'!$F$3:$F$202,B19,'1_Evidence Log'!$J$3:$J$202,"Observed behavior")+COUNTIFS('1_Evidence Log'!$F$3:$F$202,B19,'1_Evidence Log'!$J$3:$J$202,"Metric / data"))</f>
        <v>4</v>
      </c>
      <c r="I19" s="32" t="str">
        <f>IF(B19="","",IF(AND(G19&gt;=3,H19&gt;=2),"Strong signal",IF(OR(G19&gt;=2,H19&gt;=1),"Emerging signal","Weak or unconfirmed")))</f>
        <v>Strong signal</v>
      </c>
      <c r="J19" s="32" t="s">
        <v>119</v>
      </c>
      <c r="K19" s="32">
        <v>4</v>
      </c>
      <c r="L19" s="32">
        <v>4</v>
      </c>
      <c r="M19" s="32">
        <v>4</v>
      </c>
      <c r="N19" s="32">
        <v>3</v>
      </c>
      <c r="O19" s="32">
        <f>IF(COUNT(K19:N19)&lt;4,"",ROUND((K19*0.35+L19*0.25+M19*0.25+(6-N19)*0.15)*20,0))</f>
        <v>77</v>
      </c>
      <c r="P19" s="32" t="str">
        <f>IF(O19="","",IF(O19&gt;=80,"P1 — Critical",IF(O19&gt;=65,"P2 — High",IF(O19&gt;=50,"P3 — Medium","P4 — Longer-term"))))</f>
        <v>P2 — High</v>
      </c>
      <c r="Q19" s="31" t="s">
        <v>627</v>
      </c>
      <c r="R19" s="31" t="s">
        <v>628</v>
      </c>
      <c r="S19" s="31" t="s">
        <v>592</v>
      </c>
      <c r="T19" s="31" t="str">
        <f>IF(P19="P1 — Critical","0–30 days",IF(P19="P2 — High","31–90 days","Post-90 days"))</f>
        <v>31–90 days</v>
      </c>
      <c r="U19" s="31" t="s">
        <v>599</v>
      </c>
      <c r="V19" s="31" t="s">
        <v>629</v>
      </c>
      <c r="W19" s="31" t="s">
        <v>630</v>
      </c>
    </row>
    <row r="20" spans="2:23" ht="52.75" customHeight="1">
      <c r="B20" s="30" t="s">
        <v>171</v>
      </c>
      <c r="C20" s="31" t="s">
        <v>172</v>
      </c>
      <c r="D20" s="31" t="s">
        <v>166</v>
      </c>
      <c r="E20" s="31" t="s">
        <v>720</v>
      </c>
      <c r="F20" s="32">
        <f>IF(B20="","",COUNTIF('1_Evidence Log'!$F$3:$F$202,B20))</f>
        <v>1</v>
      </c>
      <c r="G20" s="32">
        <f>IF(B20="","",--(COUNTIFS('1_Evidence Log'!$F$3:$F$202,B20,'1_Evidence Log'!$C$3:$C$202,"Elena Rodriguez")&gt;0)+--(COUNTIFS('1_Evidence Log'!$F$3:$F$202,B20,'1_Evidence Log'!$C$3:$C$202,"James Okonkwo")&gt;0)+--(COUNTIFS('1_Evidence Log'!$F$3:$F$202,B20,'1_Evidence Log'!$C$3:$C$202,"Marcus Thompson")&gt;0)+--(COUNTIFS('1_Evidence Log'!$F$3:$F$202,B20,'1_Evidence Log'!$C$3:$C$202,"Priya Sharma")&gt;0)+--(COUNTIFS('1_Evidence Log'!$F$3:$F$202,B20,'1_Evidence Log'!$C$3:$C$202,"Sarah")&gt;0)+--(COUNTIFS('1_Evidence Log'!$F$3:$F$202,B20,'1_Evidence Log'!$C$3:$C$202,"David Chen")&gt;0))</f>
        <v>1</v>
      </c>
      <c r="H20" s="32">
        <f>IF(B20="","",COUNTIFS('1_Evidence Log'!$F$3:$F$202,B20,'1_Evidence Log'!$J$3:$J$202,"Direct example")+COUNTIFS('1_Evidence Log'!$F$3:$F$202,B20,'1_Evidence Log'!$J$3:$J$202,"Document / artifact")+COUNTIFS('1_Evidence Log'!$F$3:$F$202,B20,'1_Evidence Log'!$J$3:$J$202,"Observed behavior")+COUNTIFS('1_Evidence Log'!$F$3:$F$202,B20,'1_Evidence Log'!$J$3:$J$202,"Metric / data"))</f>
        <v>0</v>
      </c>
      <c r="I20" s="32" t="str">
        <f>IF(B20="","",IF(AND(G20&gt;=3,H20&gt;=2),"Strong signal",IF(OR(G20&gt;=2,H20&gt;=1),"Emerging signal","Weak or unconfirmed")))</f>
        <v>Weak or unconfirmed</v>
      </c>
      <c r="J20" s="32" t="s">
        <v>142</v>
      </c>
      <c r="K20" s="32">
        <v>3</v>
      </c>
      <c r="L20" s="32">
        <v>2</v>
      </c>
      <c r="M20" s="32">
        <v>3</v>
      </c>
      <c r="N20" s="32">
        <v>5</v>
      </c>
      <c r="O20" s="32">
        <f>IF(COUNT(K20:N20)&lt;4,"",ROUND((K20*0.35+L20*0.25+M20*0.25+(6-N20)*0.15)*20,0))</f>
        <v>49</v>
      </c>
      <c r="P20" s="32" t="str">
        <f>IF(O20="","",IF(O20&gt;=80,"P1 — Critical",IF(O20&gt;=65,"P2 — High",IF(O20&gt;=50,"P3 — Medium","P4 — Longer-term"))))</f>
        <v>P4 — Longer-term</v>
      </c>
      <c r="Q20" s="31" t="s">
        <v>721</v>
      </c>
      <c r="R20" s="31" t="s">
        <v>722</v>
      </c>
      <c r="S20" s="31" t="s">
        <v>592</v>
      </c>
      <c r="T20" s="31" t="str">
        <f>IF(P20="P1 — Critical","0–30 days",IF(P20="P2 — High","31–90 days","Post-90 days"))</f>
        <v>Post-90 days</v>
      </c>
      <c r="U20" s="31" t="s">
        <v>610</v>
      </c>
      <c r="V20" s="31" t="s">
        <v>723</v>
      </c>
      <c r="W20" s="31" t="s">
        <v>724</v>
      </c>
    </row>
    <row r="21" spans="2:23" ht="52.75" customHeight="1">
      <c r="B21" s="30" t="s">
        <v>187</v>
      </c>
      <c r="C21" s="31" t="s">
        <v>725</v>
      </c>
      <c r="D21" s="31" t="s">
        <v>166</v>
      </c>
      <c r="E21" s="31" t="s">
        <v>726</v>
      </c>
      <c r="F21" s="32">
        <f>IF(B21="","",COUNTIF('1_Evidence Log'!$F$3:$F$202,B21))</f>
        <v>1</v>
      </c>
      <c r="G21" s="32">
        <f>IF(B21="","",--(COUNTIFS('1_Evidence Log'!$F$3:$F$202,B21,'1_Evidence Log'!$C$3:$C$202,"Elena Rodriguez")&gt;0)+--(COUNTIFS('1_Evidence Log'!$F$3:$F$202,B21,'1_Evidence Log'!$C$3:$C$202,"James Okonkwo")&gt;0)+--(COUNTIFS('1_Evidence Log'!$F$3:$F$202,B21,'1_Evidence Log'!$C$3:$C$202,"Marcus Thompson")&gt;0)+--(COUNTIFS('1_Evidence Log'!$F$3:$F$202,B21,'1_Evidence Log'!$C$3:$C$202,"Priya Sharma")&gt;0)+--(COUNTIFS('1_Evidence Log'!$F$3:$F$202,B21,'1_Evidence Log'!$C$3:$C$202,"Sarah")&gt;0)+--(COUNTIFS('1_Evidence Log'!$F$3:$F$202,B21,'1_Evidence Log'!$C$3:$C$202,"David Chen")&gt;0))</f>
        <v>1</v>
      </c>
      <c r="H21" s="32">
        <f>IF(B21="","",COUNTIFS('1_Evidence Log'!$F$3:$F$202,B21,'1_Evidence Log'!$J$3:$J$202,"Direct example")+COUNTIFS('1_Evidence Log'!$F$3:$F$202,B21,'1_Evidence Log'!$J$3:$J$202,"Document / artifact")+COUNTIFS('1_Evidence Log'!$F$3:$F$202,B21,'1_Evidence Log'!$J$3:$J$202,"Observed behavior")+COUNTIFS('1_Evidence Log'!$F$3:$F$202,B21,'1_Evidence Log'!$J$3:$J$202,"Metric / data"))</f>
        <v>0</v>
      </c>
      <c r="I21" s="32" t="str">
        <f>IF(B21="","",IF(AND(G21&gt;=3,H21&gt;=2),"Strong signal",IF(OR(G21&gt;=2,H21&gt;=1),"Emerging signal","Weak or unconfirmed")))</f>
        <v>Weak or unconfirmed</v>
      </c>
      <c r="J21" s="32" t="s">
        <v>142</v>
      </c>
      <c r="K21" s="32">
        <v>3</v>
      </c>
      <c r="L21" s="32">
        <v>2</v>
      </c>
      <c r="M21" s="32">
        <v>3</v>
      </c>
      <c r="N21" s="32">
        <v>5</v>
      </c>
      <c r="O21" s="32">
        <f>IF(COUNT(K21:N21)&lt;4,"",ROUND((K21*0.35+L21*0.25+M21*0.25+(6-N21)*0.15)*20,0))</f>
        <v>49</v>
      </c>
      <c r="P21" s="32" t="str">
        <f>IF(O21="","",IF(O21&gt;=80,"P1 — Critical",IF(O21&gt;=65,"P2 — High",IF(O21&gt;=50,"P3 — Medium","P4 — Longer-term"))))</f>
        <v>P4 — Longer-term</v>
      </c>
      <c r="Q21" s="31" t="s">
        <v>727</v>
      </c>
      <c r="R21" s="31" t="s">
        <v>728</v>
      </c>
      <c r="S21" s="31" t="s">
        <v>592</v>
      </c>
      <c r="T21" s="31" t="str">
        <f>IF(P21="P1 — Critical","0–30 days",IF(P21="P2 — High","31–90 days","Post-90 days"))</f>
        <v>Post-90 days</v>
      </c>
      <c r="U21" s="31" t="s">
        <v>610</v>
      </c>
      <c r="V21" s="31" t="s">
        <v>729</v>
      </c>
      <c r="W21" s="31" t="s">
        <v>730</v>
      </c>
    </row>
    <row r="22" spans="2:23" ht="52.75" customHeight="1">
      <c r="B22" s="30" t="s">
        <v>349</v>
      </c>
      <c r="C22" s="31" t="s">
        <v>351</v>
      </c>
      <c r="D22" s="31" t="s">
        <v>350</v>
      </c>
      <c r="E22" s="31" t="s">
        <v>602</v>
      </c>
      <c r="F22" s="32">
        <f>IF(B22="","",COUNTIF('1_Evidence Log'!$F$3:$F$202,B22))</f>
        <v>1</v>
      </c>
      <c r="G22" s="32">
        <f>IF(B22="","",--(COUNTIFS('1_Evidence Log'!$F$3:$F$202,B22,'1_Evidence Log'!$C$3:$C$202,"Elena Rodriguez")&gt;0)+--(COUNTIFS('1_Evidence Log'!$F$3:$F$202,B22,'1_Evidence Log'!$C$3:$C$202,"James Okonkwo")&gt;0)+--(COUNTIFS('1_Evidence Log'!$F$3:$F$202,B22,'1_Evidence Log'!$C$3:$C$202,"Marcus Thompson")&gt;0)+--(COUNTIFS('1_Evidence Log'!$F$3:$F$202,B22,'1_Evidence Log'!$C$3:$C$202,"Priya Sharma")&gt;0)+--(COUNTIFS('1_Evidence Log'!$F$3:$F$202,B22,'1_Evidence Log'!$C$3:$C$202,"Sarah")&gt;0)+--(COUNTIFS('1_Evidence Log'!$F$3:$F$202,B22,'1_Evidence Log'!$C$3:$C$202,"David Chen")&gt;0))</f>
        <v>1</v>
      </c>
      <c r="H22" s="32">
        <f>IF(B22="","",COUNTIFS('1_Evidence Log'!$F$3:$F$202,B22,'1_Evidence Log'!$J$3:$J$202,"Direct example")+COUNTIFS('1_Evidence Log'!$F$3:$F$202,B22,'1_Evidence Log'!$J$3:$J$202,"Document / artifact")+COUNTIFS('1_Evidence Log'!$F$3:$F$202,B22,'1_Evidence Log'!$J$3:$J$202,"Observed behavior")+COUNTIFS('1_Evidence Log'!$F$3:$F$202,B22,'1_Evidence Log'!$J$3:$J$202,"Metric / data"))</f>
        <v>0</v>
      </c>
      <c r="I22" s="32" t="str">
        <f>IF(B22="","",IF(AND(G22&gt;=3,H22&gt;=2),"Strong signal",IF(OR(G22&gt;=2,H22&gt;=1),"Emerging signal","Weak or unconfirmed")))</f>
        <v>Weak or unconfirmed</v>
      </c>
      <c r="J22" s="32" t="s">
        <v>142</v>
      </c>
      <c r="K22" s="32">
        <v>4</v>
      </c>
      <c r="L22" s="32">
        <v>4</v>
      </c>
      <c r="M22" s="32">
        <v>4</v>
      </c>
      <c r="N22" s="32">
        <v>3</v>
      </c>
      <c r="O22" s="32">
        <f>IF(COUNT(K22:N22)&lt;4,"",ROUND((K22*0.35+L22*0.25+M22*0.25+(6-N22)*0.15)*20,0))</f>
        <v>77</v>
      </c>
      <c r="P22" s="32" t="str">
        <f>IF(O22="","",IF(O22&gt;=80,"P1 — Critical",IF(O22&gt;=65,"P2 — High",IF(O22&gt;=50,"P3 — Medium","P4 — Longer-term"))))</f>
        <v>P2 — High</v>
      </c>
      <c r="Q22" s="31" t="s">
        <v>603</v>
      </c>
      <c r="R22" s="31" t="s">
        <v>604</v>
      </c>
      <c r="S22" s="31" t="s">
        <v>592</v>
      </c>
      <c r="T22" s="31" t="str">
        <f>IF(P22="P1 — Critical","0–30 days",IF(P22="P2 — High","31–90 days","Post-90 days"))</f>
        <v>31–90 days</v>
      </c>
      <c r="U22" s="31" t="s">
        <v>599</v>
      </c>
      <c r="V22" s="31" t="s">
        <v>605</v>
      </c>
      <c r="W22" s="31" t="s">
        <v>606</v>
      </c>
    </row>
    <row r="23" spans="2:23" ht="39.5" customHeight="1">
      <c r="B23" s="30" t="s">
        <v>496</v>
      </c>
      <c r="C23" s="31" t="s">
        <v>497</v>
      </c>
      <c r="D23" s="31" t="s">
        <v>350</v>
      </c>
      <c r="E23" s="31" t="s">
        <v>607</v>
      </c>
      <c r="F23" s="32">
        <f>IF(B23="","",COUNTIF('1_Evidence Log'!$F$3:$F$202,B23))</f>
        <v>1</v>
      </c>
      <c r="G23" s="32">
        <f>IF(B23="","",--(COUNTIFS('1_Evidence Log'!$F$3:$F$202,B23,'1_Evidence Log'!$C$3:$C$202,"Elena Rodriguez")&gt;0)+--(COUNTIFS('1_Evidence Log'!$F$3:$F$202,B23,'1_Evidence Log'!$C$3:$C$202,"James Okonkwo")&gt;0)+--(COUNTIFS('1_Evidence Log'!$F$3:$F$202,B23,'1_Evidence Log'!$C$3:$C$202,"Marcus Thompson")&gt;0)+--(COUNTIFS('1_Evidence Log'!$F$3:$F$202,B23,'1_Evidence Log'!$C$3:$C$202,"Priya Sharma")&gt;0)+--(COUNTIFS('1_Evidence Log'!$F$3:$F$202,B23,'1_Evidence Log'!$C$3:$C$202,"Sarah")&gt;0)+--(COUNTIFS('1_Evidence Log'!$F$3:$F$202,B23,'1_Evidence Log'!$C$3:$C$202,"David Chen")&gt;0))</f>
        <v>1</v>
      </c>
      <c r="H23" s="32">
        <f>IF(B23="","",COUNTIFS('1_Evidence Log'!$F$3:$F$202,B23,'1_Evidence Log'!$J$3:$J$202,"Direct example")+COUNTIFS('1_Evidence Log'!$F$3:$F$202,B23,'1_Evidence Log'!$J$3:$J$202,"Document / artifact")+COUNTIFS('1_Evidence Log'!$F$3:$F$202,B23,'1_Evidence Log'!$J$3:$J$202,"Observed behavior")+COUNTIFS('1_Evidence Log'!$F$3:$F$202,B23,'1_Evidence Log'!$J$3:$J$202,"Metric / data"))</f>
        <v>0</v>
      </c>
      <c r="I23" s="32" t="str">
        <f>IF(B23="","",IF(AND(G23&gt;=3,H23&gt;=2),"Strong signal",IF(OR(G23&gt;=2,H23&gt;=1),"Emerging signal","Weak or unconfirmed")))</f>
        <v>Weak or unconfirmed</v>
      </c>
      <c r="J23" s="32" t="s">
        <v>142</v>
      </c>
      <c r="K23" s="32">
        <v>4</v>
      </c>
      <c r="L23" s="32">
        <v>4</v>
      </c>
      <c r="M23" s="32">
        <v>4</v>
      </c>
      <c r="N23" s="32">
        <v>3</v>
      </c>
      <c r="O23" s="32">
        <f>IF(COUNT(K23:N23)&lt;4,"",ROUND((K23*0.35+L23*0.25+M23*0.25+(6-N23)*0.15)*20,0))</f>
        <v>77</v>
      </c>
      <c r="P23" s="32" t="str">
        <f>IF(O23="","",IF(O23&gt;=80,"P1 — Critical",IF(O23&gt;=65,"P2 — High",IF(O23&gt;=50,"P3 — Medium","P4 — Longer-term"))))</f>
        <v>P2 — High</v>
      </c>
      <c r="Q23" s="31" t="s">
        <v>608</v>
      </c>
      <c r="R23" s="31" t="s">
        <v>609</v>
      </c>
      <c r="S23" s="31" t="s">
        <v>592</v>
      </c>
      <c r="T23" s="31" t="str">
        <f>IF(P23="P1 — Critical","0–30 days",IF(P23="P2 — High","31–90 days","Post-90 days"))</f>
        <v>31–90 days</v>
      </c>
      <c r="U23" s="31" t="s">
        <v>610</v>
      </c>
      <c r="V23" s="31" t="s">
        <v>611</v>
      </c>
      <c r="W23" s="31" t="s">
        <v>612</v>
      </c>
    </row>
    <row r="24" spans="2:23" ht="39.5" customHeight="1">
      <c r="B24" s="30" t="s">
        <v>289</v>
      </c>
      <c r="C24" s="31" t="s">
        <v>569</v>
      </c>
      <c r="D24" s="31" t="s">
        <v>290</v>
      </c>
      <c r="E24" s="31" t="s">
        <v>570</v>
      </c>
      <c r="F24" s="32">
        <f>IF(B24="","",COUNTIF('1_Evidence Log'!$F$3:$F$202,B24))</f>
        <v>6</v>
      </c>
      <c r="G24" s="32">
        <f>IF(B24="","",--(COUNTIFS('1_Evidence Log'!$F$3:$F$202,B24,'1_Evidence Log'!$C$3:$C$202,"Elena Rodriguez")&gt;0)+--(COUNTIFS('1_Evidence Log'!$F$3:$F$202,B24,'1_Evidence Log'!$C$3:$C$202,"James Okonkwo")&gt;0)+--(COUNTIFS('1_Evidence Log'!$F$3:$F$202,B24,'1_Evidence Log'!$C$3:$C$202,"Marcus Thompson")&gt;0)+--(COUNTIFS('1_Evidence Log'!$F$3:$F$202,B24,'1_Evidence Log'!$C$3:$C$202,"Priya Sharma")&gt;0)+--(COUNTIFS('1_Evidence Log'!$F$3:$F$202,B24,'1_Evidence Log'!$C$3:$C$202,"Sarah")&gt;0)+--(COUNTIFS('1_Evidence Log'!$F$3:$F$202,B24,'1_Evidence Log'!$C$3:$C$202,"David Chen")&gt;0))</f>
        <v>3</v>
      </c>
      <c r="H24" s="32">
        <f>IF(B24="","",COUNTIFS('1_Evidence Log'!$F$3:$F$202,B24,'1_Evidence Log'!$J$3:$J$202,"Direct example")+COUNTIFS('1_Evidence Log'!$F$3:$F$202,B24,'1_Evidence Log'!$J$3:$J$202,"Document / artifact")+COUNTIFS('1_Evidence Log'!$F$3:$F$202,B24,'1_Evidence Log'!$J$3:$J$202,"Observed behavior")+COUNTIFS('1_Evidence Log'!$F$3:$F$202,B24,'1_Evidence Log'!$J$3:$J$202,"Metric / data"))</f>
        <v>2</v>
      </c>
      <c r="I24" s="32" t="str">
        <f>IF(B24="","",IF(AND(G24&gt;=3,H24&gt;=2),"Strong signal",IF(OR(G24&gt;=2,H24&gt;=1),"Emerging signal","Weak or unconfirmed")))</f>
        <v>Strong signal</v>
      </c>
      <c r="J24" s="32" t="s">
        <v>119</v>
      </c>
      <c r="K24" s="32">
        <v>5</v>
      </c>
      <c r="L24" s="32">
        <v>5</v>
      </c>
      <c r="M24" s="32">
        <v>5</v>
      </c>
      <c r="N24" s="32">
        <v>3</v>
      </c>
      <c r="O24" s="32">
        <f>IF(COUNT(K24:N24)&lt;4,"",ROUND((K24*0.35+L24*0.25+M24*0.25+(6-N24)*0.15)*20,0))</f>
        <v>94</v>
      </c>
      <c r="P24" s="32" t="str">
        <f>IF(O24="","",IF(O24&gt;=80,"P1 — Critical",IF(O24&gt;=65,"P2 — High",IF(O24&gt;=50,"P3 — Medium","P4 — Longer-term"))))</f>
        <v>P1 — Critical</v>
      </c>
      <c r="Q24" s="31" t="s">
        <v>571</v>
      </c>
      <c r="R24" s="31" t="s">
        <v>572</v>
      </c>
      <c r="S24" s="31" t="s">
        <v>573</v>
      </c>
      <c r="T24" s="31" t="str">
        <f>IF(P24="P1 — Critical","0–30 days",IF(P24="P2 — High","31–90 days","Post-90 days"))</f>
        <v>0–30 days</v>
      </c>
      <c r="U24" s="31" t="s">
        <v>574</v>
      </c>
      <c r="V24" s="31" t="s">
        <v>575</v>
      </c>
      <c r="W24" s="31" t="s">
        <v>576</v>
      </c>
    </row>
    <row r="25" spans="2:23" ht="52.75" customHeight="1">
      <c r="B25" s="30" t="s">
        <v>355</v>
      </c>
      <c r="C25" s="31" t="s">
        <v>613</v>
      </c>
      <c r="D25" s="31" t="s">
        <v>356</v>
      </c>
      <c r="E25" s="31" t="s">
        <v>614</v>
      </c>
      <c r="F25" s="32">
        <f>IF(B25="","",COUNTIF('1_Evidence Log'!$F$3:$F$202,B25))</f>
        <v>4</v>
      </c>
      <c r="G25" s="32">
        <f>IF(B25="","",--(COUNTIFS('1_Evidence Log'!$F$3:$F$202,B25,'1_Evidence Log'!$C$3:$C$202,"Elena Rodriguez")&gt;0)+--(COUNTIFS('1_Evidence Log'!$F$3:$F$202,B25,'1_Evidence Log'!$C$3:$C$202,"James Okonkwo")&gt;0)+--(COUNTIFS('1_Evidence Log'!$F$3:$F$202,B25,'1_Evidence Log'!$C$3:$C$202,"Marcus Thompson")&gt;0)+--(COUNTIFS('1_Evidence Log'!$F$3:$F$202,B25,'1_Evidence Log'!$C$3:$C$202,"Priya Sharma")&gt;0)+--(COUNTIFS('1_Evidence Log'!$F$3:$F$202,B25,'1_Evidence Log'!$C$3:$C$202,"Sarah")&gt;0)+--(COUNTIFS('1_Evidence Log'!$F$3:$F$202,B25,'1_Evidence Log'!$C$3:$C$202,"David Chen")&gt;0))</f>
        <v>3</v>
      </c>
      <c r="H25" s="32">
        <f>IF(B25="","",COUNTIFS('1_Evidence Log'!$F$3:$F$202,B25,'1_Evidence Log'!$J$3:$J$202,"Direct example")+COUNTIFS('1_Evidence Log'!$F$3:$F$202,B25,'1_Evidence Log'!$J$3:$J$202,"Document / artifact")+COUNTIFS('1_Evidence Log'!$F$3:$F$202,B25,'1_Evidence Log'!$J$3:$J$202,"Observed behavior")+COUNTIFS('1_Evidence Log'!$F$3:$F$202,B25,'1_Evidence Log'!$J$3:$J$202,"Metric / data"))</f>
        <v>0</v>
      </c>
      <c r="I25" s="32" t="str">
        <f>IF(B25="","",IF(AND(G25&gt;=3,H25&gt;=2),"Strong signal",IF(OR(G25&gt;=2,H25&gt;=1),"Emerging signal","Weak or unconfirmed")))</f>
        <v>Emerging signal</v>
      </c>
      <c r="J25" s="32" t="s">
        <v>119</v>
      </c>
      <c r="K25" s="32">
        <v>3</v>
      </c>
      <c r="L25" s="32">
        <v>3</v>
      </c>
      <c r="M25" s="32">
        <v>4</v>
      </c>
      <c r="N25" s="32">
        <v>4</v>
      </c>
      <c r="O25" s="32">
        <f>IF(COUNT(K25:N25)&lt;4,"",ROUND((K25*0.35+L25*0.25+M25*0.25+(6-N25)*0.15)*20,0))</f>
        <v>62</v>
      </c>
      <c r="P25" s="32" t="str">
        <f>IF(O25="","",IF(O25&gt;=80,"P1 — Critical",IF(O25&gt;=65,"P2 — High",IF(O25&gt;=50,"P3 — Medium","P4 — Longer-term"))))</f>
        <v>P3 — Medium</v>
      </c>
      <c r="Q25" s="31" t="s">
        <v>615</v>
      </c>
      <c r="R25" s="31" t="s">
        <v>616</v>
      </c>
      <c r="S25" s="31" t="s">
        <v>592</v>
      </c>
      <c r="T25" s="31" t="str">
        <f>IF(P25="P1 — Critical","0–30 days",IF(P25="P2 — High","31–90 days","Post-90 days"))</f>
        <v>Post-90 days</v>
      </c>
      <c r="U25" s="31" t="s">
        <v>610</v>
      </c>
      <c r="V25" s="31" t="s">
        <v>617</v>
      </c>
      <c r="W25" s="31" t="s">
        <v>618</v>
      </c>
    </row>
    <row r="26" spans="2:23" ht="39.5" customHeight="1">
      <c r="B26" s="30" t="s">
        <v>422</v>
      </c>
      <c r="C26" s="31" t="s">
        <v>619</v>
      </c>
      <c r="D26" s="31" t="s">
        <v>423</v>
      </c>
      <c r="E26" s="31" t="s">
        <v>620</v>
      </c>
      <c r="F26" s="32">
        <f>IF(B26="","",COUNTIF('1_Evidence Log'!$F$3:$F$202,B26))</f>
        <v>1</v>
      </c>
      <c r="G26" s="32">
        <f>IF(B26="","",--(COUNTIFS('1_Evidence Log'!$F$3:$F$202,B26,'1_Evidence Log'!$C$3:$C$202,"Elena Rodriguez")&gt;0)+--(COUNTIFS('1_Evidence Log'!$F$3:$F$202,B26,'1_Evidence Log'!$C$3:$C$202,"James Okonkwo")&gt;0)+--(COUNTIFS('1_Evidence Log'!$F$3:$F$202,B26,'1_Evidence Log'!$C$3:$C$202,"Marcus Thompson")&gt;0)+--(COUNTIFS('1_Evidence Log'!$F$3:$F$202,B26,'1_Evidence Log'!$C$3:$C$202,"Priya Sharma")&gt;0)+--(COUNTIFS('1_Evidence Log'!$F$3:$F$202,B26,'1_Evidence Log'!$C$3:$C$202,"Sarah")&gt;0)+--(COUNTIFS('1_Evidence Log'!$F$3:$F$202,B26,'1_Evidence Log'!$C$3:$C$202,"David Chen")&gt;0))</f>
        <v>1</v>
      </c>
      <c r="H26" s="32">
        <f>IF(B26="","",COUNTIFS('1_Evidence Log'!$F$3:$F$202,B26,'1_Evidence Log'!$J$3:$J$202,"Direct example")+COUNTIFS('1_Evidence Log'!$F$3:$F$202,B26,'1_Evidence Log'!$J$3:$J$202,"Document / artifact")+COUNTIFS('1_Evidence Log'!$F$3:$F$202,B26,'1_Evidence Log'!$J$3:$J$202,"Observed behavior")+COUNTIFS('1_Evidence Log'!$F$3:$F$202,B26,'1_Evidence Log'!$J$3:$J$202,"Metric / data"))</f>
        <v>0</v>
      </c>
      <c r="I26" s="32" t="str">
        <f>IF(B26="","",IF(AND(G26&gt;=3,H26&gt;=2),"Strong signal",IF(OR(G26&gt;=2,H26&gt;=1),"Emerging signal","Weak or unconfirmed")))</f>
        <v>Weak or unconfirmed</v>
      </c>
      <c r="J26" s="32" t="s">
        <v>142</v>
      </c>
      <c r="K26" s="32">
        <v>3</v>
      </c>
      <c r="L26" s="32">
        <v>3</v>
      </c>
      <c r="M26" s="32">
        <v>4</v>
      </c>
      <c r="N26" s="32">
        <v>4</v>
      </c>
      <c r="O26" s="32">
        <f>IF(COUNT(K26:N26)&lt;4,"",ROUND((K26*0.35+L26*0.25+M26*0.25+(6-N26)*0.15)*20,0))</f>
        <v>62</v>
      </c>
      <c r="P26" s="32" t="str">
        <f>IF(O26="","",IF(O26&gt;=80,"P1 — Critical",IF(O26&gt;=65,"P2 — High",IF(O26&gt;=50,"P3 — Medium","P4 — Longer-term"))))</f>
        <v>P3 — Medium</v>
      </c>
      <c r="Q26" s="31" t="s">
        <v>621</v>
      </c>
      <c r="R26" s="31" t="s">
        <v>622</v>
      </c>
      <c r="S26" s="31" t="s">
        <v>592</v>
      </c>
      <c r="T26" s="31" t="str">
        <f>IF(P26="P1 — Critical","0–30 days",IF(P26="P2 — High","31–90 days","Post-90 days"))</f>
        <v>Post-90 days</v>
      </c>
      <c r="U26" s="31" t="s">
        <v>610</v>
      </c>
      <c r="V26" s="31" t="s">
        <v>623</v>
      </c>
      <c r="W26" s="31" t="s">
        <v>624</v>
      </c>
    </row>
    <row r="27" spans="2:23" ht="39.5" customHeight="1">
      <c r="B27" s="30" t="s">
        <v>329</v>
      </c>
      <c r="C27" s="31" t="s">
        <v>577</v>
      </c>
      <c r="D27" s="31" t="s">
        <v>330</v>
      </c>
      <c r="E27" s="31" t="s">
        <v>578</v>
      </c>
      <c r="F27" s="32">
        <f>IF(B27="","",COUNTIF('1_Evidence Log'!$F$3:$F$202,B27))</f>
        <v>4</v>
      </c>
      <c r="G27" s="32">
        <f>IF(B27="","",--(COUNTIFS('1_Evidence Log'!$F$3:$F$202,B27,'1_Evidence Log'!$C$3:$C$202,"Elena Rodriguez")&gt;0)+--(COUNTIFS('1_Evidence Log'!$F$3:$F$202,B27,'1_Evidence Log'!$C$3:$C$202,"James Okonkwo")&gt;0)+--(COUNTIFS('1_Evidence Log'!$F$3:$F$202,B27,'1_Evidence Log'!$C$3:$C$202,"Marcus Thompson")&gt;0)+--(COUNTIFS('1_Evidence Log'!$F$3:$F$202,B27,'1_Evidence Log'!$C$3:$C$202,"Priya Sharma")&gt;0)+--(COUNTIFS('1_Evidence Log'!$F$3:$F$202,B27,'1_Evidence Log'!$C$3:$C$202,"Sarah")&gt;0)+--(COUNTIFS('1_Evidence Log'!$F$3:$F$202,B27,'1_Evidence Log'!$C$3:$C$202,"David Chen")&gt;0))</f>
        <v>3</v>
      </c>
      <c r="H27" s="32">
        <f>IF(B27="","",COUNTIFS('1_Evidence Log'!$F$3:$F$202,B27,'1_Evidence Log'!$J$3:$J$202,"Direct example")+COUNTIFS('1_Evidence Log'!$F$3:$F$202,B27,'1_Evidence Log'!$J$3:$J$202,"Document / artifact")+COUNTIFS('1_Evidence Log'!$F$3:$F$202,B27,'1_Evidence Log'!$J$3:$J$202,"Observed behavior")+COUNTIFS('1_Evidence Log'!$F$3:$F$202,B27,'1_Evidence Log'!$J$3:$J$202,"Metric / data"))</f>
        <v>0</v>
      </c>
      <c r="I27" s="32" t="str">
        <f>IF(B27="","",IF(AND(G27&gt;=3,H27&gt;=2),"Strong signal",IF(OR(G27&gt;=2,H27&gt;=1),"Emerging signal","Weak or unconfirmed")))</f>
        <v>Emerging signal</v>
      </c>
      <c r="J27" s="32" t="s">
        <v>119</v>
      </c>
      <c r="K27" s="32">
        <v>5</v>
      </c>
      <c r="L27" s="32">
        <v>5</v>
      </c>
      <c r="M27" s="32">
        <v>5</v>
      </c>
      <c r="N27" s="32">
        <v>3</v>
      </c>
      <c r="O27" s="32">
        <f>IF(COUNT(K27:N27)&lt;4,"",ROUND((K27*0.35+L27*0.25+M27*0.25+(6-N27)*0.15)*20,0))</f>
        <v>94</v>
      </c>
      <c r="P27" s="32" t="str">
        <f>IF(O27="","",IF(O27&gt;=80,"P1 — Critical",IF(O27&gt;=65,"P2 — High",IF(O27&gt;=50,"P3 — Medium","P4 — Longer-term"))))</f>
        <v>P1 — Critical</v>
      </c>
      <c r="Q27" s="31" t="s">
        <v>579</v>
      </c>
      <c r="R27" s="31" t="s">
        <v>580</v>
      </c>
      <c r="S27" s="31" t="s">
        <v>573</v>
      </c>
      <c r="T27" s="31" t="str">
        <f>IF(P27="P1 — Critical","0–30 days",IF(P27="P2 — High","31–90 days","Post-90 days"))</f>
        <v>0–30 days</v>
      </c>
      <c r="U27" s="31" t="s">
        <v>574</v>
      </c>
      <c r="V27" s="31" t="s">
        <v>581</v>
      </c>
      <c r="W27" s="31" t="s">
        <v>582</v>
      </c>
    </row>
    <row r="28" spans="2:23" ht="39.5" customHeight="1">
      <c r="B28" s="30" t="s">
        <v>303</v>
      </c>
      <c r="C28" s="31" t="s">
        <v>595</v>
      </c>
      <c r="D28" s="31" t="s">
        <v>304</v>
      </c>
      <c r="E28" s="31" t="s">
        <v>596</v>
      </c>
      <c r="F28" s="32">
        <f>IF(B28="","",COUNTIF('1_Evidence Log'!$F$3:$F$202,B28))</f>
        <v>1</v>
      </c>
      <c r="G28" s="32">
        <f>IF(B28="","",--(COUNTIFS('1_Evidence Log'!$F$3:$F$202,B28,'1_Evidence Log'!$C$3:$C$202,"Elena Rodriguez")&gt;0)+--(COUNTIFS('1_Evidence Log'!$F$3:$F$202,B28,'1_Evidence Log'!$C$3:$C$202,"James Okonkwo")&gt;0)+--(COUNTIFS('1_Evidence Log'!$F$3:$F$202,B28,'1_Evidence Log'!$C$3:$C$202,"Marcus Thompson")&gt;0)+--(COUNTIFS('1_Evidence Log'!$F$3:$F$202,B28,'1_Evidence Log'!$C$3:$C$202,"Priya Sharma")&gt;0)+--(COUNTIFS('1_Evidence Log'!$F$3:$F$202,B28,'1_Evidence Log'!$C$3:$C$202,"Sarah")&gt;0)+--(COUNTIFS('1_Evidence Log'!$F$3:$F$202,B28,'1_Evidence Log'!$C$3:$C$202,"David Chen")&gt;0))</f>
        <v>1</v>
      </c>
      <c r="H28" s="32">
        <f>IF(B28="","",COUNTIFS('1_Evidence Log'!$F$3:$F$202,B28,'1_Evidence Log'!$J$3:$J$202,"Direct example")+COUNTIFS('1_Evidence Log'!$F$3:$F$202,B28,'1_Evidence Log'!$J$3:$J$202,"Document / artifact")+COUNTIFS('1_Evidence Log'!$F$3:$F$202,B28,'1_Evidence Log'!$J$3:$J$202,"Observed behavior")+COUNTIFS('1_Evidence Log'!$F$3:$F$202,B28,'1_Evidence Log'!$J$3:$J$202,"Metric / data"))</f>
        <v>1</v>
      </c>
      <c r="I28" s="32" t="str">
        <f>IF(B28="","",IF(AND(G28&gt;=3,H28&gt;=2),"Strong signal",IF(OR(G28&gt;=2,H28&gt;=1),"Emerging signal","Weak or unconfirmed")))</f>
        <v>Emerging signal</v>
      </c>
      <c r="J28" s="32" t="s">
        <v>142</v>
      </c>
      <c r="K28" s="32">
        <v>4</v>
      </c>
      <c r="L28" s="32">
        <v>4</v>
      </c>
      <c r="M28" s="32">
        <v>4</v>
      </c>
      <c r="N28" s="32">
        <v>3</v>
      </c>
      <c r="O28" s="32">
        <f>IF(COUNT(K28:N28)&lt;4,"",ROUND((K28*0.35+L28*0.25+M28*0.25+(6-N28)*0.15)*20,0))</f>
        <v>77</v>
      </c>
      <c r="P28" s="32" t="str">
        <f>IF(O28="","",IF(O28&gt;=80,"P1 — Critical",IF(O28&gt;=65,"P2 — High",IF(O28&gt;=50,"P3 — Medium","P4 — Longer-term"))))</f>
        <v>P2 — High</v>
      </c>
      <c r="Q28" s="31" t="s">
        <v>597</v>
      </c>
      <c r="R28" s="31" t="s">
        <v>598</v>
      </c>
      <c r="S28" s="31" t="s">
        <v>573</v>
      </c>
      <c r="T28" s="31" t="str">
        <f>IF(P28="P1 — Critical","0–30 days",IF(P28="P2 — High","31–90 days","Post-90 days"))</f>
        <v>31–90 days</v>
      </c>
      <c r="U28" s="31" t="s">
        <v>599</v>
      </c>
      <c r="V28" s="31" t="s">
        <v>600</v>
      </c>
      <c r="W28" s="31" t="s">
        <v>601</v>
      </c>
    </row>
    <row r="29" spans="2:23" ht="52.75" customHeight="1">
      <c r="B29" s="30" t="s">
        <v>254</v>
      </c>
      <c r="C29" s="31" t="s">
        <v>651</v>
      </c>
      <c r="D29" s="31" t="s">
        <v>255</v>
      </c>
      <c r="E29" s="31" t="s">
        <v>652</v>
      </c>
      <c r="F29" s="32">
        <f>IF(B29="","",COUNTIF('1_Evidence Log'!$F$3:$F$202,B29))</f>
        <v>5</v>
      </c>
      <c r="G29" s="32">
        <f>IF(B29="","",--(COUNTIFS('1_Evidence Log'!$F$3:$F$202,B29,'1_Evidence Log'!$C$3:$C$202,"Elena Rodriguez")&gt;0)+--(COUNTIFS('1_Evidence Log'!$F$3:$F$202,B29,'1_Evidence Log'!$C$3:$C$202,"James Okonkwo")&gt;0)+--(COUNTIFS('1_Evidence Log'!$F$3:$F$202,B29,'1_Evidence Log'!$C$3:$C$202,"Marcus Thompson")&gt;0)+--(COUNTIFS('1_Evidence Log'!$F$3:$F$202,B29,'1_Evidence Log'!$C$3:$C$202,"Priya Sharma")&gt;0)+--(COUNTIFS('1_Evidence Log'!$F$3:$F$202,B29,'1_Evidence Log'!$C$3:$C$202,"Sarah")&gt;0)+--(COUNTIFS('1_Evidence Log'!$F$3:$F$202,B29,'1_Evidence Log'!$C$3:$C$202,"David Chen")&gt;0))</f>
        <v>2</v>
      </c>
      <c r="H29" s="32">
        <f>IF(B29="","",COUNTIFS('1_Evidence Log'!$F$3:$F$202,B29,'1_Evidence Log'!$J$3:$J$202,"Direct example")+COUNTIFS('1_Evidence Log'!$F$3:$F$202,B29,'1_Evidence Log'!$J$3:$J$202,"Document / artifact")+COUNTIFS('1_Evidence Log'!$F$3:$F$202,B29,'1_Evidence Log'!$J$3:$J$202,"Observed behavior")+COUNTIFS('1_Evidence Log'!$F$3:$F$202,B29,'1_Evidence Log'!$J$3:$J$202,"Metric / data"))</f>
        <v>3</v>
      </c>
      <c r="I29" s="32" t="str">
        <f>IF(B29="","",IF(AND(G29&gt;=3,H29&gt;=2),"Strong signal",IF(OR(G29&gt;=2,H29&gt;=1),"Emerging signal","Weak or unconfirmed")))</f>
        <v>Emerging signal</v>
      </c>
      <c r="J29" s="32" t="s">
        <v>119</v>
      </c>
      <c r="K29" s="32">
        <v>4</v>
      </c>
      <c r="L29" s="32">
        <v>4</v>
      </c>
      <c r="M29" s="32">
        <v>4</v>
      </c>
      <c r="N29" s="32">
        <v>3</v>
      </c>
      <c r="O29" s="32">
        <f>IF(COUNT(K29:N29)&lt;4,"",ROUND((K29*0.35+L29*0.25+M29*0.25+(6-N29)*0.15)*20,0))</f>
        <v>77</v>
      </c>
      <c r="P29" s="32" t="str">
        <f>IF(O29="","",IF(O29&gt;=80,"P1 — Critical",IF(O29&gt;=65,"P2 — High",IF(O29&gt;=50,"P3 — Medium","P4 — Longer-term"))))</f>
        <v>P2 — High</v>
      </c>
      <c r="Q29" s="31" t="s">
        <v>653</v>
      </c>
      <c r="R29" s="31" t="s">
        <v>654</v>
      </c>
      <c r="S29" s="31" t="s">
        <v>573</v>
      </c>
      <c r="T29" s="31" t="str">
        <f>IF(P29="P1 — Critical","0–30 days",IF(P29="P2 — High","31–90 days","Post-90 days"))</f>
        <v>31–90 days</v>
      </c>
      <c r="U29" s="31" t="s">
        <v>574</v>
      </c>
      <c r="V29" s="31" t="s">
        <v>655</v>
      </c>
      <c r="W29" s="31" t="s">
        <v>656</v>
      </c>
    </row>
    <row r="30" spans="2:23" ht="39.5" customHeight="1">
      <c r="B30" s="30" t="s">
        <v>121</v>
      </c>
      <c r="C30" s="31" t="s">
        <v>674</v>
      </c>
      <c r="D30" s="31" t="s">
        <v>122</v>
      </c>
      <c r="E30" s="31" t="s">
        <v>675</v>
      </c>
      <c r="F30" s="32">
        <f>IF(B30="","",COUNTIF('1_Evidence Log'!$F$3:$F$202,B30))</f>
        <v>1</v>
      </c>
      <c r="G30" s="32">
        <f>IF(B30="","",--(COUNTIFS('1_Evidence Log'!$F$3:$F$202,B30,'1_Evidence Log'!$C$3:$C$202,"Elena Rodriguez")&gt;0)+--(COUNTIFS('1_Evidence Log'!$F$3:$F$202,B30,'1_Evidence Log'!$C$3:$C$202,"James Okonkwo")&gt;0)+--(COUNTIFS('1_Evidence Log'!$F$3:$F$202,B30,'1_Evidence Log'!$C$3:$C$202,"Marcus Thompson")&gt;0)+--(COUNTIFS('1_Evidence Log'!$F$3:$F$202,B30,'1_Evidence Log'!$C$3:$C$202,"Priya Sharma")&gt;0)+--(COUNTIFS('1_Evidence Log'!$F$3:$F$202,B30,'1_Evidence Log'!$C$3:$C$202,"Sarah")&gt;0)+--(COUNTIFS('1_Evidence Log'!$F$3:$F$202,B30,'1_Evidence Log'!$C$3:$C$202,"David Chen")&gt;0))</f>
        <v>1</v>
      </c>
      <c r="H30" s="32">
        <f>IF(B30="","",COUNTIFS('1_Evidence Log'!$F$3:$F$202,B30,'1_Evidence Log'!$J$3:$J$202,"Direct example")+COUNTIFS('1_Evidence Log'!$F$3:$F$202,B30,'1_Evidence Log'!$J$3:$J$202,"Document / artifact")+COUNTIFS('1_Evidence Log'!$F$3:$F$202,B30,'1_Evidence Log'!$J$3:$J$202,"Observed behavior")+COUNTIFS('1_Evidence Log'!$F$3:$F$202,B30,'1_Evidence Log'!$J$3:$J$202,"Metric / data"))</f>
        <v>0</v>
      </c>
      <c r="I30" s="32" t="str">
        <f>IF(B30="","",IF(AND(G30&gt;=3,H30&gt;=2),"Strong signal",IF(OR(G30&gt;=2,H30&gt;=1),"Emerging signal","Weak or unconfirmed")))</f>
        <v>Weak or unconfirmed</v>
      </c>
      <c r="J30" s="32" t="s">
        <v>142</v>
      </c>
      <c r="K30" s="32">
        <v>4</v>
      </c>
      <c r="L30" s="32">
        <v>4</v>
      </c>
      <c r="M30" s="32">
        <v>4</v>
      </c>
      <c r="N30" s="32">
        <v>3</v>
      </c>
      <c r="O30" s="32">
        <f>IF(COUNT(K30:N30)&lt;4,"",ROUND((K30*0.35+L30*0.25+M30*0.25+(6-N30)*0.15)*20,0))</f>
        <v>77</v>
      </c>
      <c r="P30" s="32" t="str">
        <f>IF(O30="","",IF(O30&gt;=80,"P1 — Critical",IF(O30&gt;=65,"P2 — High",IF(O30&gt;=50,"P3 — Medium","P4 — Longer-term"))))</f>
        <v>P2 — High</v>
      </c>
      <c r="Q30" s="31" t="s">
        <v>676</v>
      </c>
      <c r="R30" s="31" t="s">
        <v>677</v>
      </c>
      <c r="S30" s="31" t="s">
        <v>592</v>
      </c>
      <c r="T30" s="31" t="str">
        <f>IF(P30="P1 — Critical","0–30 days",IF(P30="P2 — High","31–90 days","Post-90 days"))</f>
        <v>31–90 days</v>
      </c>
      <c r="U30" s="31" t="s">
        <v>599</v>
      </c>
      <c r="V30" s="31" t="s">
        <v>678</v>
      </c>
      <c r="W30" s="31" t="s">
        <v>679</v>
      </c>
    </row>
    <row r="31" spans="2:23" ht="39.5" customHeight="1">
      <c r="B31" s="30" t="s">
        <v>161</v>
      </c>
      <c r="C31" s="31" t="s">
        <v>680</v>
      </c>
      <c r="D31" s="31" t="s">
        <v>122</v>
      </c>
      <c r="E31" s="31" t="s">
        <v>681</v>
      </c>
      <c r="F31" s="32">
        <f>IF(B31="","",COUNTIF('1_Evidence Log'!$F$3:$F$202,B31))</f>
        <v>1</v>
      </c>
      <c r="G31" s="32">
        <f>IF(B31="","",--(COUNTIFS('1_Evidence Log'!$F$3:$F$202,B31,'1_Evidence Log'!$C$3:$C$202,"Elena Rodriguez")&gt;0)+--(COUNTIFS('1_Evidence Log'!$F$3:$F$202,B31,'1_Evidence Log'!$C$3:$C$202,"James Okonkwo")&gt;0)+--(COUNTIFS('1_Evidence Log'!$F$3:$F$202,B31,'1_Evidence Log'!$C$3:$C$202,"Marcus Thompson")&gt;0)+--(COUNTIFS('1_Evidence Log'!$F$3:$F$202,B31,'1_Evidence Log'!$C$3:$C$202,"Priya Sharma")&gt;0)+--(COUNTIFS('1_Evidence Log'!$F$3:$F$202,B31,'1_Evidence Log'!$C$3:$C$202,"Sarah")&gt;0)+--(COUNTIFS('1_Evidence Log'!$F$3:$F$202,B31,'1_Evidence Log'!$C$3:$C$202,"David Chen")&gt;0))</f>
        <v>1</v>
      </c>
      <c r="H31" s="32">
        <f>IF(B31="","",COUNTIFS('1_Evidence Log'!$F$3:$F$202,B31,'1_Evidence Log'!$J$3:$J$202,"Direct example")+COUNTIFS('1_Evidence Log'!$F$3:$F$202,B31,'1_Evidence Log'!$J$3:$J$202,"Document / artifact")+COUNTIFS('1_Evidence Log'!$F$3:$F$202,B31,'1_Evidence Log'!$J$3:$J$202,"Observed behavior")+COUNTIFS('1_Evidence Log'!$F$3:$F$202,B31,'1_Evidence Log'!$J$3:$J$202,"Metric / data"))</f>
        <v>0</v>
      </c>
      <c r="I31" s="32" t="str">
        <f>IF(B31="","",IF(AND(G31&gt;=3,H31&gt;=2),"Strong signal",IF(OR(G31&gt;=2,H31&gt;=1),"Emerging signal","Weak or unconfirmed")))</f>
        <v>Weak or unconfirmed</v>
      </c>
      <c r="J31" s="32" t="s">
        <v>682</v>
      </c>
      <c r="K31" s="32">
        <v>3</v>
      </c>
      <c r="L31" s="32">
        <v>3</v>
      </c>
      <c r="M31" s="32">
        <v>4</v>
      </c>
      <c r="N31" s="32">
        <v>4</v>
      </c>
      <c r="O31" s="32">
        <f>IF(COUNT(K31:N31)&lt;4,"",ROUND((K31*0.35+L31*0.25+M31*0.25+(6-N31)*0.15)*20,0))</f>
        <v>62</v>
      </c>
      <c r="P31" s="32" t="str">
        <f>IF(O31="","",IF(O31&gt;=80,"P1 — Critical",IF(O31&gt;=65,"P2 — High",IF(O31&gt;=50,"P3 — Medium","P4 — Longer-term"))))</f>
        <v>P3 — Medium</v>
      </c>
      <c r="Q31" s="31" t="s">
        <v>683</v>
      </c>
      <c r="R31" s="31" t="s">
        <v>684</v>
      </c>
      <c r="S31" s="31" t="s">
        <v>592</v>
      </c>
      <c r="T31" s="31" t="str">
        <f>IF(P31="P1 — Critical","0–30 days",IF(P31="P2 — High","31–90 days","Post-90 days"))</f>
        <v>Post-90 days</v>
      </c>
      <c r="U31" s="31" t="s">
        <v>610</v>
      </c>
      <c r="V31" s="31" t="s">
        <v>685</v>
      </c>
      <c r="W31" s="31" t="s">
        <v>686</v>
      </c>
    </row>
    <row r="32" spans="2:23" ht="39.5" customHeight="1">
      <c r="B32" s="30" t="s">
        <v>176</v>
      </c>
      <c r="C32" s="31" t="s">
        <v>177</v>
      </c>
      <c r="D32" s="31" t="s">
        <v>122</v>
      </c>
      <c r="E32" s="31" t="s">
        <v>687</v>
      </c>
      <c r="F32" s="32">
        <f>IF(B32="","",COUNTIF('1_Evidence Log'!$F$3:$F$202,B32))</f>
        <v>1</v>
      </c>
      <c r="G32" s="32">
        <f>IF(B32="","",--(COUNTIFS('1_Evidence Log'!$F$3:$F$202,B32,'1_Evidence Log'!$C$3:$C$202,"Elena Rodriguez")&gt;0)+--(COUNTIFS('1_Evidence Log'!$F$3:$F$202,B32,'1_Evidence Log'!$C$3:$C$202,"James Okonkwo")&gt;0)+--(COUNTIFS('1_Evidence Log'!$F$3:$F$202,B32,'1_Evidence Log'!$C$3:$C$202,"Marcus Thompson")&gt;0)+--(COUNTIFS('1_Evidence Log'!$F$3:$F$202,B32,'1_Evidence Log'!$C$3:$C$202,"Priya Sharma")&gt;0)+--(COUNTIFS('1_Evidence Log'!$F$3:$F$202,B32,'1_Evidence Log'!$C$3:$C$202,"Sarah")&gt;0)+--(COUNTIFS('1_Evidence Log'!$F$3:$F$202,B32,'1_Evidence Log'!$C$3:$C$202,"David Chen")&gt;0))</f>
        <v>1</v>
      </c>
      <c r="H32" s="32">
        <f>IF(B32="","",COUNTIFS('1_Evidence Log'!$F$3:$F$202,B32,'1_Evidence Log'!$J$3:$J$202,"Direct example")+COUNTIFS('1_Evidence Log'!$F$3:$F$202,B32,'1_Evidence Log'!$J$3:$J$202,"Document / artifact")+COUNTIFS('1_Evidence Log'!$F$3:$F$202,B32,'1_Evidence Log'!$J$3:$J$202,"Observed behavior")+COUNTIFS('1_Evidence Log'!$F$3:$F$202,B32,'1_Evidence Log'!$J$3:$J$202,"Metric / data"))</f>
        <v>0</v>
      </c>
      <c r="I32" s="32" t="str">
        <f>IF(B32="","",IF(AND(G32&gt;=3,H32&gt;=2),"Strong signal",IF(OR(G32&gt;=2,H32&gt;=1),"Emerging signal","Weak or unconfirmed")))</f>
        <v>Weak or unconfirmed</v>
      </c>
      <c r="J32" s="32" t="s">
        <v>682</v>
      </c>
      <c r="K32" s="32">
        <v>3</v>
      </c>
      <c r="L32" s="32">
        <v>2</v>
      </c>
      <c r="M32" s="32">
        <v>3</v>
      </c>
      <c r="N32" s="32">
        <v>5</v>
      </c>
      <c r="O32" s="32">
        <f>IF(COUNT(K32:N32)&lt;4,"",ROUND((K32*0.35+L32*0.25+M32*0.25+(6-N32)*0.15)*20,0))</f>
        <v>49</v>
      </c>
      <c r="P32" s="32" t="str">
        <f>IF(O32="","",IF(O32&gt;=80,"P1 — Critical",IF(O32&gt;=65,"P2 — High",IF(O32&gt;=50,"P3 — Medium","P4 — Longer-term"))))</f>
        <v>P4 — Longer-term</v>
      </c>
      <c r="Q32" s="31" t="s">
        <v>688</v>
      </c>
      <c r="R32" s="31" t="s">
        <v>689</v>
      </c>
      <c r="S32" s="31" t="s">
        <v>592</v>
      </c>
      <c r="T32" s="31" t="str">
        <f>IF(P32="P1 — Critical","0–30 days",IF(P32="P2 — High","31–90 days","Post-90 days"))</f>
        <v>Post-90 days</v>
      </c>
      <c r="U32" s="31" t="s">
        <v>610</v>
      </c>
      <c r="V32" s="31" t="s">
        <v>690</v>
      </c>
      <c r="W32" s="31" t="s">
        <v>691</v>
      </c>
    </row>
    <row r="33" spans="2:23" ht="39.5" customHeight="1">
      <c r="B33" s="30" t="s">
        <v>192</v>
      </c>
      <c r="C33" s="31" t="s">
        <v>193</v>
      </c>
      <c r="D33" s="31" t="s">
        <v>122</v>
      </c>
      <c r="E33" s="31" t="s">
        <v>692</v>
      </c>
      <c r="F33" s="32">
        <f>IF(B33="","",COUNTIF('1_Evidence Log'!$F$3:$F$202,B33))</f>
        <v>1</v>
      </c>
      <c r="G33" s="32">
        <f>IF(B33="","",--(COUNTIFS('1_Evidence Log'!$F$3:$F$202,B33,'1_Evidence Log'!$C$3:$C$202,"Elena Rodriguez")&gt;0)+--(COUNTIFS('1_Evidence Log'!$F$3:$F$202,B33,'1_Evidence Log'!$C$3:$C$202,"James Okonkwo")&gt;0)+--(COUNTIFS('1_Evidence Log'!$F$3:$F$202,B33,'1_Evidence Log'!$C$3:$C$202,"Marcus Thompson")&gt;0)+--(COUNTIFS('1_Evidence Log'!$F$3:$F$202,B33,'1_Evidence Log'!$C$3:$C$202,"Priya Sharma")&gt;0)+--(COUNTIFS('1_Evidence Log'!$F$3:$F$202,B33,'1_Evidence Log'!$C$3:$C$202,"Sarah")&gt;0)+--(COUNTIFS('1_Evidence Log'!$F$3:$F$202,B33,'1_Evidence Log'!$C$3:$C$202,"David Chen")&gt;0))</f>
        <v>1</v>
      </c>
      <c r="H33" s="32">
        <f>IF(B33="","",COUNTIFS('1_Evidence Log'!$F$3:$F$202,B33,'1_Evidence Log'!$J$3:$J$202,"Direct example")+COUNTIFS('1_Evidence Log'!$F$3:$F$202,B33,'1_Evidence Log'!$J$3:$J$202,"Document / artifact")+COUNTIFS('1_Evidence Log'!$F$3:$F$202,B33,'1_Evidence Log'!$J$3:$J$202,"Observed behavior")+COUNTIFS('1_Evidence Log'!$F$3:$F$202,B33,'1_Evidence Log'!$J$3:$J$202,"Metric / data"))</f>
        <v>0</v>
      </c>
      <c r="I33" s="32" t="str">
        <f>IF(B33="","",IF(AND(G33&gt;=3,H33&gt;=2),"Strong signal",IF(OR(G33&gt;=2,H33&gt;=1),"Emerging signal","Weak or unconfirmed")))</f>
        <v>Weak or unconfirmed</v>
      </c>
      <c r="J33" s="32" t="s">
        <v>142</v>
      </c>
      <c r="K33" s="32">
        <v>3</v>
      </c>
      <c r="L33" s="32">
        <v>2</v>
      </c>
      <c r="M33" s="32">
        <v>3</v>
      </c>
      <c r="N33" s="32">
        <v>5</v>
      </c>
      <c r="O33" s="32">
        <f>IF(COUNT(K33:N33)&lt;4,"",ROUND((K33*0.35+L33*0.25+M33*0.25+(6-N33)*0.15)*20,0))</f>
        <v>49</v>
      </c>
      <c r="P33" s="32" t="str">
        <f>IF(O33="","",IF(O33&gt;=80,"P1 — Critical",IF(O33&gt;=65,"P2 — High",IF(O33&gt;=50,"P3 — Medium","P4 — Longer-term"))))</f>
        <v>P4 — Longer-term</v>
      </c>
      <c r="Q33" s="31" t="s">
        <v>693</v>
      </c>
      <c r="R33" s="31" t="s">
        <v>694</v>
      </c>
      <c r="S33" s="31" t="s">
        <v>592</v>
      </c>
      <c r="T33" s="31" t="str">
        <f>IF(P33="P1 — Critical","0–30 days",IF(P33="P2 — High","31–90 days","Post-90 days"))</f>
        <v>Post-90 days</v>
      </c>
      <c r="U33" s="31" t="s">
        <v>610</v>
      </c>
      <c r="V33" s="31" t="s">
        <v>695</v>
      </c>
      <c r="W33" s="31" t="s">
        <v>696</v>
      </c>
    </row>
    <row r="34" spans="2:23" ht="39.5" customHeight="1">
      <c r="B34" s="30" t="s">
        <v>315</v>
      </c>
      <c r="C34" s="31" t="s">
        <v>583</v>
      </c>
      <c r="D34" s="31" t="s">
        <v>316</v>
      </c>
      <c r="E34" s="31" t="s">
        <v>584</v>
      </c>
      <c r="F34" s="32">
        <f>IF(B34="","",COUNTIF('1_Evidence Log'!$F$3:$F$202,B34))</f>
        <v>4</v>
      </c>
      <c r="G34" s="32">
        <f>IF(B34="","",--(COUNTIFS('1_Evidence Log'!$F$3:$F$202,B34,'1_Evidence Log'!$C$3:$C$202,"Elena Rodriguez")&gt;0)+--(COUNTIFS('1_Evidence Log'!$F$3:$F$202,B34,'1_Evidence Log'!$C$3:$C$202,"James Okonkwo")&gt;0)+--(COUNTIFS('1_Evidence Log'!$F$3:$F$202,B34,'1_Evidence Log'!$C$3:$C$202,"Marcus Thompson")&gt;0)+--(COUNTIFS('1_Evidence Log'!$F$3:$F$202,B34,'1_Evidence Log'!$C$3:$C$202,"Priya Sharma")&gt;0)+--(COUNTIFS('1_Evidence Log'!$F$3:$F$202,B34,'1_Evidence Log'!$C$3:$C$202,"Sarah")&gt;0)+--(COUNTIFS('1_Evidence Log'!$F$3:$F$202,B34,'1_Evidence Log'!$C$3:$C$202,"David Chen")&gt;0))</f>
        <v>2</v>
      </c>
      <c r="H34" s="32">
        <f>IF(B34="","",COUNTIFS('1_Evidence Log'!$F$3:$F$202,B34,'1_Evidence Log'!$J$3:$J$202,"Direct example")+COUNTIFS('1_Evidence Log'!$F$3:$F$202,B34,'1_Evidence Log'!$J$3:$J$202,"Document / artifact")+COUNTIFS('1_Evidence Log'!$F$3:$F$202,B34,'1_Evidence Log'!$J$3:$J$202,"Observed behavior")+COUNTIFS('1_Evidence Log'!$F$3:$F$202,B34,'1_Evidence Log'!$J$3:$J$202,"Metric / data"))</f>
        <v>2</v>
      </c>
      <c r="I34" s="32" t="str">
        <f>IF(B34="","",IF(AND(G34&gt;=3,H34&gt;=2),"Strong signal",IF(OR(G34&gt;=2,H34&gt;=1),"Emerging signal","Weak or unconfirmed")))</f>
        <v>Emerging signal</v>
      </c>
      <c r="J34" s="32" t="s">
        <v>119</v>
      </c>
      <c r="K34" s="32">
        <v>5</v>
      </c>
      <c r="L34" s="32">
        <v>5</v>
      </c>
      <c r="M34" s="32">
        <v>5</v>
      </c>
      <c r="N34" s="32">
        <v>3</v>
      </c>
      <c r="O34" s="32">
        <f>IF(COUNT(K34:N34)&lt;4,"",ROUND((K34*0.35+L34*0.25+M34*0.25+(6-N34)*0.15)*20,0))</f>
        <v>94</v>
      </c>
      <c r="P34" s="32" t="str">
        <f>IF(O34="","",IF(O34&gt;=80,"P1 — Critical",IF(O34&gt;=65,"P2 — High",IF(O34&gt;=50,"P3 — Medium","P4 — Longer-term"))))</f>
        <v>P1 — Critical</v>
      </c>
      <c r="Q34" s="31" t="s">
        <v>585</v>
      </c>
      <c r="R34" s="31" t="s">
        <v>586</v>
      </c>
      <c r="S34" s="31" t="s">
        <v>573</v>
      </c>
      <c r="T34" s="31" t="str">
        <f>IF(P34="P1 — Critical","0–30 days",IF(P34="P2 — High","31–90 days","Post-90 days"))</f>
        <v>0–30 days</v>
      </c>
      <c r="U34" s="31" t="s">
        <v>574</v>
      </c>
      <c r="V34" s="31" t="s">
        <v>587</v>
      </c>
      <c r="W34" s="31" t="s">
        <v>588</v>
      </c>
    </row>
    <row r="35" spans="2:23" ht="39.5" customHeight="1">
      <c r="B35" s="27"/>
      <c r="C35" s="28"/>
      <c r="D35" s="28"/>
      <c r="E35" s="28"/>
      <c r="F35" s="25"/>
      <c r="G35" s="25"/>
      <c r="H35" s="25"/>
      <c r="I35" s="25" t="str">
        <f t="shared" ref="I35" si="0">IF(B35="","",IF(AND(G35&gt;=3,H35&gt;=2),"Strong signal",IF(OR(G35&gt;=2,H35&gt;=1),"Emerging signal","Weak / unconfirmed")))</f>
        <v/>
      </c>
      <c r="J35" s="27"/>
      <c r="K35" s="27"/>
      <c r="L35" s="27"/>
      <c r="M35" s="27"/>
      <c r="N35" s="27"/>
      <c r="O35" s="25" t="str">
        <f t="shared" ref="O35" si="1">IF(COUNT(K35:N35)&lt;4,"",ROUND((K35*0.35+L35*0.25+M35*0.25+(6-N35)*0.15)*20,0))</f>
        <v/>
      </c>
      <c r="P35" s="25"/>
      <c r="Q35" s="28"/>
      <c r="R35" s="28"/>
      <c r="S35" s="28"/>
      <c r="T35" s="26"/>
      <c r="U35" s="28"/>
      <c r="V35" s="28"/>
      <c r="W35" s="28"/>
    </row>
    <row r="36" spans="2:23" ht="39.5" customHeight="1">
      <c r="B36" s="27"/>
      <c r="C36" s="28"/>
      <c r="D36" s="28"/>
      <c r="E36" s="28"/>
      <c r="F36" s="25"/>
      <c r="G36" s="25"/>
      <c r="H36" s="25"/>
      <c r="I36" s="25" t="str">
        <f t="shared" ref="I36:I67" si="2">IF(B36="","",IF(AND(G36&gt;=3,H36&gt;=2),"Strong signal",IF(OR(G36&gt;=2,H36&gt;=1),"Emerging signal","Weak / unconfirmed")))</f>
        <v/>
      </c>
      <c r="J36" s="27"/>
      <c r="K36" s="27"/>
      <c r="L36" s="27"/>
      <c r="M36" s="27"/>
      <c r="N36" s="27"/>
      <c r="O36" s="25" t="str">
        <f t="shared" ref="O36:O67" si="3">IF(COUNT(K36:N36)&lt;4,"",ROUND((K36*0.35+L36*0.25+M36*0.25+(6-N36)*0.15)*20,0))</f>
        <v/>
      </c>
      <c r="P36" s="25"/>
      <c r="Q36" s="28"/>
      <c r="R36" s="28"/>
      <c r="S36" s="28"/>
      <c r="T36" s="26" t="str">
        <f t="shared" ref="T36:T67" si="4">IF(B36="","",IF(OR(I36="Weak / unconfirmed",J36="Low"),"Validate first",IF(S36="Blocked / dependency","Post-90 days",IF(O36&gt;=80,"0–30 days",IF(O36&gt;=65,"31–60 days",IF(O36&gt;=50,"61–90 days","Monitor / no action"))))))</f>
        <v/>
      </c>
      <c r="U36" s="28"/>
      <c r="V36" s="28"/>
      <c r="W36" s="28"/>
    </row>
    <row r="37" spans="2:23" ht="39.5" customHeight="1">
      <c r="B37" s="27"/>
      <c r="C37" s="28"/>
      <c r="D37" s="28"/>
      <c r="E37" s="28"/>
      <c r="F37" s="25"/>
      <c r="G37" s="25"/>
      <c r="H37" s="25"/>
      <c r="I37" s="25" t="str">
        <f t="shared" si="2"/>
        <v/>
      </c>
      <c r="J37" s="27"/>
      <c r="K37" s="27"/>
      <c r="L37" s="27"/>
      <c r="M37" s="27"/>
      <c r="N37" s="27"/>
      <c r="O37" s="25" t="str">
        <f t="shared" si="3"/>
        <v/>
      </c>
      <c r="P37" s="25"/>
      <c r="Q37" s="28"/>
      <c r="R37" s="28"/>
      <c r="S37" s="28"/>
      <c r="T37" s="26" t="str">
        <f t="shared" si="4"/>
        <v/>
      </c>
      <c r="U37" s="28"/>
      <c r="V37" s="28"/>
      <c r="W37" s="28"/>
    </row>
    <row r="38" spans="2:23" ht="39.5" customHeight="1">
      <c r="B38" s="27"/>
      <c r="C38" s="28"/>
      <c r="D38" s="28"/>
      <c r="E38" s="28"/>
      <c r="F38" s="25"/>
      <c r="G38" s="25"/>
      <c r="H38" s="25"/>
      <c r="I38" s="25" t="str">
        <f t="shared" si="2"/>
        <v/>
      </c>
      <c r="J38" s="27"/>
      <c r="K38" s="27"/>
      <c r="L38" s="27"/>
      <c r="M38" s="27"/>
      <c r="N38" s="27"/>
      <c r="O38" s="25" t="str">
        <f t="shared" si="3"/>
        <v/>
      </c>
      <c r="P38" s="25"/>
      <c r="Q38" s="28"/>
      <c r="R38" s="28"/>
      <c r="S38" s="28"/>
      <c r="T38" s="26" t="str">
        <f t="shared" si="4"/>
        <v/>
      </c>
      <c r="U38" s="28"/>
      <c r="V38" s="28"/>
      <c r="W38" s="28"/>
    </row>
    <row r="39" spans="2:23" ht="39.5" customHeight="1">
      <c r="B39" s="27"/>
      <c r="C39" s="28"/>
      <c r="D39" s="28"/>
      <c r="E39" s="28"/>
      <c r="F39" s="25"/>
      <c r="G39" s="25"/>
      <c r="H39" s="25"/>
      <c r="I39" s="25" t="str">
        <f t="shared" si="2"/>
        <v/>
      </c>
      <c r="J39" s="27"/>
      <c r="K39" s="27"/>
      <c r="L39" s="27"/>
      <c r="M39" s="27"/>
      <c r="N39" s="27"/>
      <c r="O39" s="25" t="str">
        <f t="shared" si="3"/>
        <v/>
      </c>
      <c r="P39" s="25"/>
      <c r="Q39" s="28"/>
      <c r="R39" s="28"/>
      <c r="S39" s="28"/>
      <c r="T39" s="26" t="str">
        <f t="shared" si="4"/>
        <v/>
      </c>
      <c r="U39" s="28"/>
      <c r="V39" s="28"/>
      <c r="W39" s="28"/>
    </row>
    <row r="40" spans="2:23">
      <c r="I40" s="2" t="str">
        <f t="shared" si="2"/>
        <v/>
      </c>
      <c r="O40" s="2" t="str">
        <f t="shared" si="3"/>
        <v/>
      </c>
      <c r="T40" s="2" t="str">
        <f t="shared" si="4"/>
        <v/>
      </c>
    </row>
    <row r="41" spans="2:23">
      <c r="I41" s="2" t="str">
        <f t="shared" si="2"/>
        <v/>
      </c>
      <c r="O41" s="2" t="str">
        <f t="shared" si="3"/>
        <v/>
      </c>
      <c r="T41" s="2" t="str">
        <f t="shared" si="4"/>
        <v/>
      </c>
    </row>
    <row r="42" spans="2:23">
      <c r="I42" s="2" t="str">
        <f t="shared" si="2"/>
        <v/>
      </c>
      <c r="O42" s="2" t="str">
        <f t="shared" si="3"/>
        <v/>
      </c>
      <c r="T42" s="2" t="str">
        <f t="shared" si="4"/>
        <v/>
      </c>
    </row>
    <row r="43" spans="2:23">
      <c r="I43" s="2" t="str">
        <f t="shared" si="2"/>
        <v/>
      </c>
      <c r="O43" s="2" t="str">
        <f t="shared" si="3"/>
        <v/>
      </c>
      <c r="T43" s="2" t="str">
        <f t="shared" si="4"/>
        <v/>
      </c>
    </row>
    <row r="44" spans="2:23">
      <c r="I44" s="2" t="str">
        <f t="shared" si="2"/>
        <v/>
      </c>
      <c r="O44" s="2" t="str">
        <f t="shared" si="3"/>
        <v/>
      </c>
      <c r="T44" s="2" t="str">
        <f t="shared" si="4"/>
        <v/>
      </c>
    </row>
    <row r="45" spans="2:23">
      <c r="I45" s="2" t="str">
        <f t="shared" si="2"/>
        <v/>
      </c>
      <c r="O45" s="2" t="str">
        <f t="shared" si="3"/>
        <v/>
      </c>
      <c r="T45" s="2" t="str">
        <f t="shared" si="4"/>
        <v/>
      </c>
    </row>
    <row r="46" spans="2:23">
      <c r="I46" s="2" t="str">
        <f t="shared" si="2"/>
        <v/>
      </c>
      <c r="O46" s="2" t="str">
        <f t="shared" si="3"/>
        <v/>
      </c>
      <c r="T46" s="2" t="str">
        <f t="shared" si="4"/>
        <v/>
      </c>
    </row>
    <row r="47" spans="2:23">
      <c r="I47" s="2" t="str">
        <f t="shared" si="2"/>
        <v/>
      </c>
      <c r="O47" s="2" t="str">
        <f t="shared" si="3"/>
        <v/>
      </c>
      <c r="T47" s="2" t="str">
        <f t="shared" si="4"/>
        <v/>
      </c>
    </row>
    <row r="48" spans="2:23">
      <c r="I48" s="2" t="str">
        <f t="shared" si="2"/>
        <v/>
      </c>
      <c r="O48" s="2" t="str">
        <f t="shared" si="3"/>
        <v/>
      </c>
      <c r="T48" s="2" t="str">
        <f t="shared" si="4"/>
        <v/>
      </c>
    </row>
    <row r="49" spans="9:20">
      <c r="I49" s="2" t="str">
        <f t="shared" si="2"/>
        <v/>
      </c>
      <c r="O49" s="2" t="str">
        <f t="shared" si="3"/>
        <v/>
      </c>
      <c r="T49" s="2" t="str">
        <f t="shared" si="4"/>
        <v/>
      </c>
    </row>
    <row r="50" spans="9:20">
      <c r="I50" s="2" t="str">
        <f t="shared" si="2"/>
        <v/>
      </c>
      <c r="O50" s="2" t="str">
        <f t="shared" si="3"/>
        <v/>
      </c>
      <c r="T50" s="2" t="str">
        <f t="shared" si="4"/>
        <v/>
      </c>
    </row>
    <row r="51" spans="9:20">
      <c r="I51" s="2" t="str">
        <f t="shared" si="2"/>
        <v/>
      </c>
      <c r="O51" s="2" t="str">
        <f t="shared" si="3"/>
        <v/>
      </c>
      <c r="T51" s="2" t="str">
        <f t="shared" si="4"/>
        <v/>
      </c>
    </row>
    <row r="52" spans="9:20">
      <c r="I52" s="2" t="str">
        <f t="shared" si="2"/>
        <v/>
      </c>
      <c r="O52" s="2" t="str">
        <f t="shared" si="3"/>
        <v/>
      </c>
      <c r="T52" s="2" t="str">
        <f t="shared" si="4"/>
        <v/>
      </c>
    </row>
    <row r="53" spans="9:20">
      <c r="I53" s="2" t="str">
        <f t="shared" si="2"/>
        <v/>
      </c>
      <c r="O53" s="2" t="str">
        <f t="shared" si="3"/>
        <v/>
      </c>
      <c r="T53" s="2" t="str">
        <f t="shared" si="4"/>
        <v/>
      </c>
    </row>
    <row r="54" spans="9:20">
      <c r="I54" s="2" t="str">
        <f t="shared" si="2"/>
        <v/>
      </c>
      <c r="O54" s="2" t="str">
        <f t="shared" si="3"/>
        <v/>
      </c>
      <c r="T54" s="2" t="str">
        <f t="shared" si="4"/>
        <v/>
      </c>
    </row>
    <row r="55" spans="9:20">
      <c r="I55" s="2" t="str">
        <f t="shared" si="2"/>
        <v/>
      </c>
      <c r="O55" s="2" t="str">
        <f t="shared" si="3"/>
        <v/>
      </c>
      <c r="T55" s="2" t="str">
        <f t="shared" si="4"/>
        <v/>
      </c>
    </row>
    <row r="56" spans="9:20">
      <c r="I56" s="2" t="str">
        <f t="shared" si="2"/>
        <v/>
      </c>
      <c r="O56" s="2" t="str">
        <f t="shared" si="3"/>
        <v/>
      </c>
      <c r="T56" s="2" t="str">
        <f t="shared" si="4"/>
        <v/>
      </c>
    </row>
    <row r="57" spans="9:20">
      <c r="I57" s="2" t="str">
        <f t="shared" si="2"/>
        <v/>
      </c>
      <c r="O57" s="2" t="str">
        <f t="shared" si="3"/>
        <v/>
      </c>
      <c r="T57" s="2" t="str">
        <f t="shared" si="4"/>
        <v/>
      </c>
    </row>
    <row r="58" spans="9:20">
      <c r="I58" s="2" t="str">
        <f t="shared" si="2"/>
        <v/>
      </c>
      <c r="O58" s="2" t="str">
        <f t="shared" si="3"/>
        <v/>
      </c>
      <c r="T58" s="2" t="str">
        <f t="shared" si="4"/>
        <v/>
      </c>
    </row>
    <row r="59" spans="9:20">
      <c r="I59" s="2" t="str">
        <f t="shared" si="2"/>
        <v/>
      </c>
      <c r="O59" s="2" t="str">
        <f t="shared" si="3"/>
        <v/>
      </c>
      <c r="T59" s="2" t="str">
        <f t="shared" si="4"/>
        <v/>
      </c>
    </row>
    <row r="60" spans="9:20">
      <c r="I60" s="2" t="str">
        <f t="shared" si="2"/>
        <v/>
      </c>
      <c r="O60" s="2" t="str">
        <f t="shared" si="3"/>
        <v/>
      </c>
      <c r="T60" s="2" t="str">
        <f t="shared" si="4"/>
        <v/>
      </c>
    </row>
    <row r="61" spans="9:20">
      <c r="I61" s="2" t="str">
        <f t="shared" si="2"/>
        <v/>
      </c>
      <c r="O61" s="2" t="str">
        <f t="shared" si="3"/>
        <v/>
      </c>
      <c r="T61" s="2" t="str">
        <f t="shared" si="4"/>
        <v/>
      </c>
    </row>
    <row r="62" spans="9:20">
      <c r="I62" s="2" t="str">
        <f t="shared" si="2"/>
        <v/>
      </c>
      <c r="O62" s="2" t="str">
        <f t="shared" si="3"/>
        <v/>
      </c>
      <c r="T62" s="2" t="str">
        <f t="shared" si="4"/>
        <v/>
      </c>
    </row>
    <row r="63" spans="9:20">
      <c r="I63" s="2" t="str">
        <f t="shared" si="2"/>
        <v/>
      </c>
      <c r="O63" s="2" t="str">
        <f t="shared" si="3"/>
        <v/>
      </c>
      <c r="T63" s="2" t="str">
        <f t="shared" si="4"/>
        <v/>
      </c>
    </row>
    <row r="64" spans="9:20">
      <c r="I64" s="2" t="str">
        <f t="shared" si="2"/>
        <v/>
      </c>
      <c r="O64" s="2" t="str">
        <f t="shared" si="3"/>
        <v/>
      </c>
      <c r="T64" s="2" t="str">
        <f t="shared" si="4"/>
        <v/>
      </c>
    </row>
    <row r="65" spans="9:20">
      <c r="I65" s="2" t="str">
        <f t="shared" si="2"/>
        <v/>
      </c>
      <c r="O65" s="2" t="str">
        <f t="shared" si="3"/>
        <v/>
      </c>
      <c r="T65" s="2" t="str">
        <f t="shared" si="4"/>
        <v/>
      </c>
    </row>
    <row r="66" spans="9:20">
      <c r="I66" s="2" t="str">
        <f t="shared" si="2"/>
        <v/>
      </c>
      <c r="O66" s="2" t="str">
        <f t="shared" si="3"/>
        <v/>
      </c>
      <c r="T66" s="2" t="str">
        <f t="shared" si="4"/>
        <v/>
      </c>
    </row>
    <row r="67" spans="9:20">
      <c r="I67" s="2" t="str">
        <f t="shared" si="2"/>
        <v/>
      </c>
      <c r="O67" s="2" t="str">
        <f t="shared" si="3"/>
        <v/>
      </c>
      <c r="T67" s="2" t="str">
        <f t="shared" si="4"/>
        <v/>
      </c>
    </row>
    <row r="68" spans="9:20">
      <c r="I68" s="2" t="str">
        <f t="shared" ref="I68:I99" si="5">IF(B68="","",IF(AND(G68&gt;=3,H68&gt;=2),"Strong signal",IF(OR(G68&gt;=2,H68&gt;=1),"Emerging signal","Weak / unconfirmed")))</f>
        <v/>
      </c>
      <c r="O68" s="2" t="str">
        <f t="shared" ref="O68:O99" si="6">IF(COUNT(K68:N68)&lt;4,"",ROUND((K68*0.35+L68*0.25+M68*0.25+(6-N68)*0.15)*20,0))</f>
        <v/>
      </c>
      <c r="T68" s="2" t="str">
        <f t="shared" ref="T68:T99" si="7">IF(B68="","",IF(OR(I68="Weak / unconfirmed",J68="Low"),"Validate first",IF(S68="Blocked / dependency","Post-90 days",IF(O68&gt;=80,"0–30 days",IF(O68&gt;=65,"31–60 days",IF(O68&gt;=50,"61–90 days","Monitor / no action"))))))</f>
        <v/>
      </c>
    </row>
    <row r="69" spans="9:20">
      <c r="I69" s="2" t="str">
        <f t="shared" si="5"/>
        <v/>
      </c>
      <c r="O69" s="2" t="str">
        <f t="shared" si="6"/>
        <v/>
      </c>
      <c r="T69" s="2" t="str">
        <f t="shared" si="7"/>
        <v/>
      </c>
    </row>
    <row r="70" spans="9:20">
      <c r="I70" s="2" t="str">
        <f t="shared" si="5"/>
        <v/>
      </c>
      <c r="O70" s="2" t="str">
        <f t="shared" si="6"/>
        <v/>
      </c>
      <c r="T70" s="2" t="str">
        <f t="shared" si="7"/>
        <v/>
      </c>
    </row>
    <row r="71" spans="9:20">
      <c r="I71" s="2" t="str">
        <f t="shared" si="5"/>
        <v/>
      </c>
      <c r="O71" s="2" t="str">
        <f t="shared" si="6"/>
        <v/>
      </c>
      <c r="T71" s="2" t="str">
        <f t="shared" si="7"/>
        <v/>
      </c>
    </row>
    <row r="72" spans="9:20">
      <c r="I72" s="2" t="str">
        <f t="shared" si="5"/>
        <v/>
      </c>
      <c r="O72" s="2" t="str">
        <f t="shared" si="6"/>
        <v/>
      </c>
      <c r="T72" s="2" t="str">
        <f t="shared" si="7"/>
        <v/>
      </c>
    </row>
    <row r="73" spans="9:20">
      <c r="I73" s="2" t="str">
        <f t="shared" si="5"/>
        <v/>
      </c>
      <c r="O73" s="2" t="str">
        <f t="shared" si="6"/>
        <v/>
      </c>
      <c r="T73" s="2" t="str">
        <f t="shared" si="7"/>
        <v/>
      </c>
    </row>
    <row r="74" spans="9:20">
      <c r="I74" s="2" t="str">
        <f t="shared" si="5"/>
        <v/>
      </c>
      <c r="O74" s="2" t="str">
        <f t="shared" si="6"/>
        <v/>
      </c>
      <c r="T74" s="2" t="str">
        <f t="shared" si="7"/>
        <v/>
      </c>
    </row>
    <row r="75" spans="9:20">
      <c r="I75" s="2" t="str">
        <f t="shared" si="5"/>
        <v/>
      </c>
      <c r="O75" s="2" t="str">
        <f t="shared" si="6"/>
        <v/>
      </c>
      <c r="T75" s="2" t="str">
        <f t="shared" si="7"/>
        <v/>
      </c>
    </row>
    <row r="76" spans="9:20">
      <c r="I76" s="2" t="str">
        <f t="shared" si="5"/>
        <v/>
      </c>
      <c r="O76" s="2" t="str">
        <f t="shared" si="6"/>
        <v/>
      </c>
      <c r="T76" s="2" t="str">
        <f t="shared" si="7"/>
        <v/>
      </c>
    </row>
    <row r="77" spans="9:20">
      <c r="I77" s="2" t="str">
        <f t="shared" si="5"/>
        <v/>
      </c>
      <c r="O77" s="2" t="str">
        <f t="shared" si="6"/>
        <v/>
      </c>
      <c r="T77" s="2" t="str">
        <f t="shared" si="7"/>
        <v/>
      </c>
    </row>
    <row r="78" spans="9:20">
      <c r="I78" s="2" t="str">
        <f t="shared" si="5"/>
        <v/>
      </c>
      <c r="O78" s="2" t="str">
        <f t="shared" si="6"/>
        <v/>
      </c>
      <c r="T78" s="2" t="str">
        <f t="shared" si="7"/>
        <v/>
      </c>
    </row>
    <row r="79" spans="9:20">
      <c r="I79" s="2" t="str">
        <f t="shared" si="5"/>
        <v/>
      </c>
      <c r="O79" s="2" t="str">
        <f t="shared" si="6"/>
        <v/>
      </c>
      <c r="T79" s="2" t="str">
        <f t="shared" si="7"/>
        <v/>
      </c>
    </row>
    <row r="80" spans="9:20">
      <c r="I80" s="2" t="str">
        <f t="shared" si="5"/>
        <v/>
      </c>
      <c r="O80" s="2" t="str">
        <f t="shared" si="6"/>
        <v/>
      </c>
      <c r="T80" s="2" t="str">
        <f t="shared" si="7"/>
        <v/>
      </c>
    </row>
    <row r="81" spans="9:20">
      <c r="I81" s="2" t="str">
        <f t="shared" si="5"/>
        <v/>
      </c>
      <c r="O81" s="2" t="str">
        <f t="shared" si="6"/>
        <v/>
      </c>
      <c r="T81" s="2" t="str">
        <f t="shared" si="7"/>
        <v/>
      </c>
    </row>
    <row r="82" spans="9:20">
      <c r="I82" s="2" t="str">
        <f t="shared" si="5"/>
        <v/>
      </c>
      <c r="O82" s="2" t="str">
        <f t="shared" si="6"/>
        <v/>
      </c>
      <c r="T82" s="2" t="str">
        <f t="shared" si="7"/>
        <v/>
      </c>
    </row>
    <row r="83" spans="9:20">
      <c r="I83" s="2" t="str">
        <f t="shared" si="5"/>
        <v/>
      </c>
      <c r="O83" s="2" t="str">
        <f t="shared" si="6"/>
        <v/>
      </c>
      <c r="T83" s="2" t="str">
        <f t="shared" si="7"/>
        <v/>
      </c>
    </row>
    <row r="84" spans="9:20">
      <c r="I84" s="2" t="str">
        <f t="shared" si="5"/>
        <v/>
      </c>
      <c r="O84" s="2" t="str">
        <f t="shared" si="6"/>
        <v/>
      </c>
      <c r="T84" s="2" t="str">
        <f t="shared" si="7"/>
        <v/>
      </c>
    </row>
    <row r="85" spans="9:20">
      <c r="I85" s="2" t="str">
        <f t="shared" si="5"/>
        <v/>
      </c>
      <c r="O85" s="2" t="str">
        <f t="shared" si="6"/>
        <v/>
      </c>
      <c r="T85" s="2" t="str">
        <f t="shared" si="7"/>
        <v/>
      </c>
    </row>
    <row r="86" spans="9:20">
      <c r="I86" s="2" t="str">
        <f t="shared" si="5"/>
        <v/>
      </c>
      <c r="O86" s="2" t="str">
        <f t="shared" si="6"/>
        <v/>
      </c>
      <c r="T86" s="2" t="str">
        <f t="shared" si="7"/>
        <v/>
      </c>
    </row>
    <row r="87" spans="9:20">
      <c r="I87" s="2" t="str">
        <f t="shared" si="5"/>
        <v/>
      </c>
      <c r="O87" s="2" t="str">
        <f t="shared" si="6"/>
        <v/>
      </c>
      <c r="T87" s="2" t="str">
        <f t="shared" si="7"/>
        <v/>
      </c>
    </row>
    <row r="88" spans="9:20">
      <c r="I88" s="2" t="str">
        <f t="shared" si="5"/>
        <v/>
      </c>
      <c r="O88" s="2" t="str">
        <f t="shared" si="6"/>
        <v/>
      </c>
      <c r="T88" s="2" t="str">
        <f t="shared" si="7"/>
        <v/>
      </c>
    </row>
    <row r="89" spans="9:20">
      <c r="I89" s="2" t="str">
        <f t="shared" si="5"/>
        <v/>
      </c>
      <c r="O89" s="2" t="str">
        <f t="shared" si="6"/>
        <v/>
      </c>
      <c r="T89" s="2" t="str">
        <f t="shared" si="7"/>
        <v/>
      </c>
    </row>
    <row r="90" spans="9:20">
      <c r="I90" s="2" t="str">
        <f t="shared" si="5"/>
        <v/>
      </c>
      <c r="O90" s="2" t="str">
        <f t="shared" si="6"/>
        <v/>
      </c>
      <c r="T90" s="2" t="str">
        <f t="shared" si="7"/>
        <v/>
      </c>
    </row>
    <row r="91" spans="9:20">
      <c r="I91" s="2" t="str">
        <f t="shared" si="5"/>
        <v/>
      </c>
      <c r="O91" s="2" t="str">
        <f t="shared" si="6"/>
        <v/>
      </c>
      <c r="T91" s="2" t="str">
        <f t="shared" si="7"/>
        <v/>
      </c>
    </row>
    <row r="92" spans="9:20">
      <c r="I92" s="2" t="str">
        <f t="shared" si="5"/>
        <v/>
      </c>
      <c r="O92" s="2" t="str">
        <f t="shared" si="6"/>
        <v/>
      </c>
      <c r="T92" s="2" t="str">
        <f t="shared" si="7"/>
        <v/>
      </c>
    </row>
    <row r="93" spans="9:20">
      <c r="I93" s="2" t="str">
        <f t="shared" si="5"/>
        <v/>
      </c>
      <c r="O93" s="2" t="str">
        <f t="shared" si="6"/>
        <v/>
      </c>
      <c r="T93" s="2" t="str">
        <f t="shared" si="7"/>
        <v/>
      </c>
    </row>
    <row r="94" spans="9:20">
      <c r="I94" s="2" t="str">
        <f t="shared" si="5"/>
        <v/>
      </c>
      <c r="O94" s="2" t="str">
        <f t="shared" si="6"/>
        <v/>
      </c>
      <c r="T94" s="2" t="str">
        <f t="shared" si="7"/>
        <v/>
      </c>
    </row>
    <row r="95" spans="9:20">
      <c r="I95" s="2" t="str">
        <f t="shared" si="5"/>
        <v/>
      </c>
      <c r="O95" s="2" t="str">
        <f t="shared" si="6"/>
        <v/>
      </c>
      <c r="T95" s="2" t="str">
        <f t="shared" si="7"/>
        <v/>
      </c>
    </row>
    <row r="96" spans="9:20">
      <c r="I96" s="2" t="str">
        <f t="shared" si="5"/>
        <v/>
      </c>
      <c r="O96" s="2" t="str">
        <f t="shared" si="6"/>
        <v/>
      </c>
      <c r="T96" s="2" t="str">
        <f t="shared" si="7"/>
        <v/>
      </c>
    </row>
    <row r="97" spans="9:20">
      <c r="I97" s="2" t="str">
        <f t="shared" si="5"/>
        <v/>
      </c>
      <c r="O97" s="2" t="str">
        <f t="shared" si="6"/>
        <v/>
      </c>
      <c r="T97" s="2" t="str">
        <f t="shared" si="7"/>
        <v/>
      </c>
    </row>
    <row r="98" spans="9:20">
      <c r="I98" s="2" t="str">
        <f t="shared" si="5"/>
        <v/>
      </c>
      <c r="O98" s="2" t="str">
        <f t="shared" si="6"/>
        <v/>
      </c>
      <c r="T98" s="2" t="str">
        <f t="shared" si="7"/>
        <v/>
      </c>
    </row>
    <row r="99" spans="9:20">
      <c r="I99" s="2" t="str">
        <f t="shared" si="5"/>
        <v/>
      </c>
      <c r="O99" s="2" t="str">
        <f t="shared" si="6"/>
        <v/>
      </c>
      <c r="T99" s="2" t="str">
        <f t="shared" si="7"/>
        <v/>
      </c>
    </row>
    <row r="100" spans="9:20">
      <c r="I100" s="2" t="str">
        <f t="shared" ref="I100:I103" si="8">IF(B100="","",IF(AND(G100&gt;=3,H100&gt;=2),"Strong signal",IF(OR(G100&gt;=2,H100&gt;=1),"Emerging signal","Weak / unconfirmed")))</f>
        <v/>
      </c>
      <c r="O100" s="2" t="str">
        <f t="shared" ref="O100:O103" si="9">IF(COUNT(K100:N100)&lt;4,"",ROUND((K100*0.35+L100*0.25+M100*0.25+(6-N100)*0.15)*20,0))</f>
        <v/>
      </c>
      <c r="T100" s="2" t="str">
        <f t="shared" ref="T100:T103" si="10">IF(B100="","",IF(OR(I100="Weak / unconfirmed",J100="Low"),"Validate first",IF(S100="Blocked / dependency","Post-90 days",IF(O100&gt;=80,"0–30 days",IF(O100&gt;=65,"31–60 days",IF(O100&gt;=50,"61–90 days","Monitor / no action"))))))</f>
        <v/>
      </c>
    </row>
    <row r="101" spans="9:20">
      <c r="I101" s="2" t="str">
        <f t="shared" si="8"/>
        <v/>
      </c>
      <c r="O101" s="2" t="str">
        <f t="shared" si="9"/>
        <v/>
      </c>
      <c r="T101" s="2" t="str">
        <f t="shared" si="10"/>
        <v/>
      </c>
    </row>
    <row r="102" spans="9:20">
      <c r="I102" s="2" t="str">
        <f t="shared" si="8"/>
        <v/>
      </c>
      <c r="O102" s="2" t="str">
        <f t="shared" si="9"/>
        <v/>
      </c>
      <c r="T102" s="2" t="str">
        <f t="shared" si="10"/>
        <v/>
      </c>
    </row>
    <row r="103" spans="9:20">
      <c r="I103" s="2" t="str">
        <f t="shared" si="8"/>
        <v/>
      </c>
      <c r="O103" s="2" t="str">
        <f t="shared" si="9"/>
        <v/>
      </c>
      <c r="T103" s="2" t="str">
        <f t="shared" si="10"/>
        <v/>
      </c>
    </row>
  </sheetData>
  <conditionalFormatting sqref="I4:I103">
    <cfRule type="expression" dxfId="3" priority="2">
      <formula>I4="Strong signal"</formula>
    </cfRule>
    <cfRule type="expression" dxfId="2" priority="3">
      <formula>I4="Weak / unconfirmed"</formula>
    </cfRule>
  </conditionalFormatting>
  <conditionalFormatting sqref="O4:O103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conditionalFormatting sqref="P4:P103">
    <cfRule type="expression" dxfId="1" priority="4">
      <formula>LEFT(P4,2)="P1"</formula>
    </cfRule>
    <cfRule type="expression" dxfId="0" priority="5">
      <formula>LEFT(P4,2)="P2"</formula>
    </cfRule>
  </conditionalFormatting>
  <dataValidations count="9">
    <dataValidation type="list" sqref="D4:D103" xr:uid="{00000000-0002-0000-0200-000000000000}">
      <formula1>"People / Org,Process / Governance,Technology / Tools,Data / Reporting,Risk / Controls,Vendor / Partner,Ways of Working,Other"</formula1>
    </dataValidation>
    <dataValidation type="list" sqref="J4:J103" xr:uid="{00000000-0002-0000-0200-000001000000}">
      <formula1>"Low,Medium,High"</formula1>
    </dataValidation>
    <dataValidation type="list" sqref="K4:N103" xr:uid="{00000000-0002-0000-0200-000002000000}">
      <formula1>"1,2,3,4,5"</formula1>
    </dataValidation>
    <dataValidation type="list" sqref="S4:S103" xr:uid="{00000000-0002-0000-0200-000003000000}">
      <formula1>"Ready now,Needs decision,Needs design,Blocked / dependency"</formula1>
    </dataValidation>
    <dataValidation type="list" sqref="U4:U103" xr:uid="{00000000-0002-0000-0200-000004000000}">
      <formula1>"0–30 days,31–60 days,61–90 days,Post-90 days,Monitor / no action"</formula1>
    </dataValidation>
    <dataValidation type="list" sqref="J4:J39" xr:uid="{00000000-0002-0000-0200-000005000000}">
      <formula1>"High,Medium,Low"</formula1>
    </dataValidation>
    <dataValidation type="whole" sqref="K4:N39" xr:uid="{00000000-0002-0000-0200-000006000000}">
      <formula1>1</formula1>
      <formula2>5</formula2>
    </dataValidation>
    <dataValidation type="list" sqref="S4:S39" xr:uid="{00000000-0002-0000-0200-00000A000000}">
      <formula1>"Ready now,Needs alignment,Blocked / dependency"</formula1>
    </dataValidation>
    <dataValidation type="list" sqref="U4:U34" xr:uid="{00000000-0002-0000-0200-000012000000}">
      <formula1>"0–30 days,31–60 days,61–90 days,Post-90 days"</formula1>
    </dataValidation>
  </dataValidation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4"/>
  <sheetViews>
    <sheetView showGridLines="0" zoomScale="65" workbookViewId="0">
      <selection activeCell="G5" sqref="G5"/>
    </sheetView>
  </sheetViews>
  <sheetFormatPr defaultRowHeight="14.5"/>
  <cols>
    <col min="1" max="1" width="2.5" style="2" customWidth="1"/>
    <col min="2" max="2" width="12" style="2" customWidth="1"/>
    <col min="3" max="3" width="40" style="2" customWidth="1"/>
    <col min="4" max="5" width="18" style="2" customWidth="1"/>
    <col min="6" max="6" width="10" style="18" customWidth="1"/>
    <col min="7" max="7" width="22" style="2" customWidth="1"/>
    <col min="8" max="8" width="32" style="2" customWidth="1"/>
    <col min="9" max="9" width="24" style="2" customWidth="1"/>
    <col min="10" max="11" width="42" style="2" customWidth="1"/>
    <col min="12" max="16384" width="8.6640625" style="2"/>
  </cols>
  <sheetData>
    <row r="2" spans="2:11" ht="22.65" customHeight="1">
      <c r="B2" s="19" t="s">
        <v>755</v>
      </c>
      <c r="C2" s="19"/>
      <c r="D2" s="19"/>
      <c r="E2" s="19"/>
      <c r="F2" s="20"/>
      <c r="G2" s="19"/>
      <c r="H2" s="19"/>
      <c r="I2" s="19"/>
      <c r="J2" s="19"/>
      <c r="K2" s="19"/>
    </row>
    <row r="4" spans="2:11" ht="29">
      <c r="B4" s="5" t="s">
        <v>49</v>
      </c>
      <c r="C4" s="5" t="s">
        <v>76</v>
      </c>
      <c r="D4" s="5" t="s">
        <v>77</v>
      </c>
      <c r="E4" s="5" t="s">
        <v>78</v>
      </c>
      <c r="F4" s="15" t="s">
        <v>79</v>
      </c>
      <c r="G4" s="5" t="s">
        <v>80</v>
      </c>
      <c r="H4" s="5" t="s">
        <v>81</v>
      </c>
      <c r="I4" s="5" t="s">
        <v>71</v>
      </c>
      <c r="J4" s="5" t="s">
        <v>82</v>
      </c>
      <c r="K4" s="5" t="s">
        <v>83</v>
      </c>
    </row>
    <row r="5" spans="2:11" s="17" customFormat="1" ht="39.5" customHeight="1">
      <c r="B5" s="17" t="str">
        <f>'2_Issue Register'!B5</f>
        <v>CAP-01</v>
      </c>
      <c r="C5" s="8" t="str">
        <f>'2_Issue Register'!C5</f>
        <v>Capacity and delivery commitments are based on judgment rather than a visible workload view.</v>
      </c>
      <c r="D5" s="8" t="str">
        <f>'2_Issue Register'!I5</f>
        <v>Weak or unconfirmed</v>
      </c>
      <c r="E5" s="8" t="str">
        <f>'2_Issue Register'!P5</f>
        <v>P1 — Critical</v>
      </c>
      <c r="F5" s="21">
        <f>'2_Issue Register'!O5</f>
        <v>94</v>
      </c>
      <c r="G5" s="8" t="str">
        <f>IF('2_Issue Register'!U5&lt;&gt;"",'2_Issue Register'!U5,'2_Issue Register'!T5)</f>
        <v>0–30 days</v>
      </c>
      <c r="H5" s="8" t="str">
        <f>'2_Issue Register'!Q5</f>
        <v>Requires defined work categories and a deliberately lightweight approach that avoids detailed time tracking.</v>
      </c>
      <c r="I5" s="8" t="str">
        <f>'2_Issue Register'!R5</f>
        <v>Director of Operations + pod leads</v>
      </c>
      <c r="J5" s="8" t="str">
        <f>'2_Issue Register'!V5</f>
        <v>Create a simple capacity view using team allocation bands, major commitments and known dependency demand.</v>
      </c>
      <c r="K5" s="8" t="str">
        <f>'2_Issue Register'!W5</f>
        <v>Pod leads can identify over-capacity roles and quantify the capacity displaced by a proposed priority change.</v>
      </c>
    </row>
    <row r="6" spans="2:11" s="17" customFormat="1" ht="39.5" customHeight="1">
      <c r="B6" s="17" t="str">
        <f>'2_Issue Register'!B12</f>
        <v>HIR-01</v>
      </c>
      <c r="C6" s="8" t="str">
        <f>'2_Issue Register'!C12</f>
        <v>The recruiting process is too slow and dependent on ad hoc coordination to support planned hiring volume.</v>
      </c>
      <c r="D6" s="8" t="str">
        <f>'2_Issue Register'!I12</f>
        <v>Emerging signal</v>
      </c>
      <c r="E6" s="8" t="str">
        <f>'2_Issue Register'!P12</f>
        <v>P1 — Critical</v>
      </c>
      <c r="F6" s="21">
        <f>'2_Issue Register'!O12</f>
        <v>94</v>
      </c>
      <c r="G6" s="8" t="str">
        <f>IF('2_Issue Register'!U12&lt;&gt;"",'2_Issue Register'!U12,'2_Issue Register'!T12)</f>
        <v>0–30 days</v>
      </c>
      <c r="H6" s="8" t="str">
        <f>'2_Issue Register'!Q12</f>
        <v>Requires the workforce plan, clear assessment criteria and delegated decision rights by role level.</v>
      </c>
      <c r="I6" s="8" t="str">
        <f>'2_Issue Register'!R12</f>
        <v>Director of Operations + Elena / HR + hiring leads</v>
      </c>
      <c r="J6" s="8" t="str">
        <f>'2_Issue Register'!V12</f>
        <v>Standardize requisition readiness, interview plans, reserved panels, parallel scheduling, feedback SLAs and decision authority.</v>
      </c>
      <c r="K6" s="8" t="str">
        <f>'2_Issue Register'!W12</f>
        <v>Every active search has a committed timeline and owner; scheduling and feedback occur within defined targets and time-to-hire begins to decline.</v>
      </c>
    </row>
    <row r="7" spans="2:11" s="17" customFormat="1" ht="39.5" customHeight="1">
      <c r="B7" s="17" t="str">
        <f>'2_Issue Register'!B17</f>
        <v>ONB-01</v>
      </c>
      <c r="C7" s="8" t="str">
        <f>'2_Issue Register'!C17</f>
        <v>New-hire technical onboarding lacks an end-to-end owner, day-one access and a standard setup path.</v>
      </c>
      <c r="D7" s="8" t="str">
        <f>'2_Issue Register'!I17</f>
        <v>Strong signal</v>
      </c>
      <c r="E7" s="8" t="str">
        <f>'2_Issue Register'!P17</f>
        <v>P1 — Critical</v>
      </c>
      <c r="F7" s="21">
        <f>'2_Issue Register'!O17</f>
        <v>94</v>
      </c>
      <c r="G7" s="8" t="str">
        <f>IF('2_Issue Register'!U17&lt;&gt;"",'2_Issue Register'!U17,'2_Issue Register'!T17)</f>
        <v>0–30 days</v>
      </c>
      <c r="H7" s="8" t="str">
        <f>'2_Issue Register'!Q17</f>
        <v>Limited to pre-start and initial employee provisioning; ongoing project access sits under CORP-03.</v>
      </c>
      <c r="I7" s="8" t="str">
        <f>'2_Issue Register'!R17</f>
        <v>Director of Operations + IT / SecOps + hiring manager</v>
      </c>
      <c r="J7" s="8" t="str">
        <f>'2_Issue Register'!V17</f>
        <v>Create role-based access checklists, pre-start provisioning, a named onboarding owner and escalation targets.</v>
      </c>
      <c r="K7" s="8" t="str">
        <f>'2_Issue Register'!W17</f>
        <v>New engineers receive required baseline access by day one and can complete a defined productive engineering task within the first week.</v>
      </c>
    </row>
    <row r="8" spans="2:11" s="17" customFormat="1" ht="39.5" customHeight="1">
      <c r="B8" s="17" t="str">
        <f>'2_Issue Register'!B24</f>
        <v>PIP-01</v>
      </c>
      <c r="C8" s="8" t="str">
        <f>'2_Issue Register'!C24</f>
        <v>DI lacks a controlled intake and prioritization process across investment, portfolio-company and internal demand.</v>
      </c>
      <c r="D8" s="8" t="str">
        <f>'2_Issue Register'!I24</f>
        <v>Strong signal</v>
      </c>
      <c r="E8" s="8" t="str">
        <f>'2_Issue Register'!P24</f>
        <v>P1 — Critical</v>
      </c>
      <c r="F8" s="21">
        <f>'2_Issue Register'!O24</f>
        <v>94</v>
      </c>
      <c r="G8" s="8" t="str">
        <f>IF('2_Issue Register'!U24&lt;&gt;"",'2_Issue Register'!U24,'2_Issue Register'!T24)</f>
        <v>0–30 days</v>
      </c>
      <c r="H8" s="8" t="str">
        <f>'2_Issue Register'!Q24</f>
        <v>Requires agreement from David and pod leads on decision rights and prioritization criteria.</v>
      </c>
      <c r="I8" s="8" t="str">
        <f>'2_Issue Register'!R24</f>
        <v>Director of Operations + David + pod leads</v>
      </c>
      <c r="J8" s="8" t="str">
        <f>'2_Issue Register'!V24</f>
        <v>Create one intake, common evaluation criteria, a visible queue and a weekly prioritization decision forum.</v>
      </c>
      <c r="K8" s="8" t="str">
        <f>'2_Issue Register'!W24</f>
        <v>All new requests enter one queue; owners can identify accepted, deferred and displaced work and the reason for each decision.</v>
      </c>
    </row>
    <row r="9" spans="2:11" s="17" customFormat="1" ht="39.5" customHeight="1">
      <c r="B9" s="17" t="str">
        <f>'2_Issue Register'!B27</f>
        <v>PMO-01</v>
      </c>
      <c r="C9" s="8" t="str">
        <f>'2_Issue Register'!C27</f>
        <v>DI lacks a shared source of truth and forward-looking operating rhythm for its portfolio of work.</v>
      </c>
      <c r="D9" s="8" t="str">
        <f>'2_Issue Register'!I27</f>
        <v>Emerging signal</v>
      </c>
      <c r="E9" s="8" t="str">
        <f>'2_Issue Register'!P27</f>
        <v>P1 — Critical</v>
      </c>
      <c r="F9" s="21">
        <f>'2_Issue Register'!O27</f>
        <v>94</v>
      </c>
      <c r="G9" s="8" t="str">
        <f>IF('2_Issue Register'!U27&lt;&gt;"",'2_Issue Register'!U27,'2_Issue Register'!T27)</f>
        <v>0–30 days</v>
      </c>
      <c r="H9" s="8" t="str">
        <f>'2_Issue Register'!Q27</f>
        <v>Depends on minimum portfolio fields and update ownership; should launch with the intake process.</v>
      </c>
      <c r="I9" s="8" t="str">
        <f>'2_Issue Register'!R27</f>
        <v>Director of Operations + pod leads</v>
      </c>
      <c r="J9" s="8" t="str">
        <f>'2_Issue Register'!V27</f>
        <v>Stand up a lightweight portfolio view and redesign the weekly DI forum around decisions, dependencies, capacity and risks.</v>
      </c>
      <c r="K9" s="8" t="str">
        <f>'2_Issue Register'!W27</f>
        <v>One current portfolio view covers every active initiative; the weekly forum resolves exceptions rather than collecting status updates.</v>
      </c>
    </row>
    <row r="10" spans="2:11" s="17" customFormat="1" ht="39.5" customHeight="1">
      <c r="B10" s="17" t="str">
        <f>'2_Issue Register'!B34</f>
        <v>XPD-01</v>
      </c>
      <c r="C10" s="8" t="str">
        <f>'2_Issue Register'!C34</f>
        <v>Cross-pod dependencies are surfaced and committed too late, making delivery dates unreliable.</v>
      </c>
      <c r="D10" s="8" t="str">
        <f>'2_Issue Register'!I34</f>
        <v>Emerging signal</v>
      </c>
      <c r="E10" s="8" t="str">
        <f>'2_Issue Register'!P34</f>
        <v>P1 — Critical</v>
      </c>
      <c r="F10" s="21">
        <f>'2_Issue Register'!O34</f>
        <v>94</v>
      </c>
      <c r="G10" s="8" t="str">
        <f>IF('2_Issue Register'!U34&lt;&gt;"",'2_Issue Register'!U34,'2_Issue Register'!T34)</f>
        <v>0–30 days</v>
      </c>
      <c r="H10" s="8" t="str">
        <f>'2_Issue Register'!Q34</f>
        <v>Requires the shared portfolio view and explicit authority to accept cross-pod commitments.</v>
      </c>
      <c r="I10" s="8" t="str">
        <f>'2_Issue Register'!R34</f>
        <v>Director of Operations + Priya + Marcus</v>
      </c>
      <c r="J10" s="8" t="str">
        <f>'2_Issue Register'!V34</f>
        <v>Add dependency mapping, joint acceptance and change notification to planning and project setup.</v>
      </c>
      <c r="K10" s="8" t="str">
        <f>'2_Issue Register'!W34</f>
        <v>Every cross-pod commitment has an accepted owner and date before an external promise is made; unresolved dependencies are reviewed weekly.</v>
      </c>
    </row>
    <row r="11" spans="2:11" s="17" customFormat="1" ht="39.5" customHeight="1">
      <c r="B11" s="17" t="str">
        <f>'2_Issue Register'!B11</f>
        <v>FIN-02</v>
      </c>
      <c r="C11" s="8" t="str">
        <f>'2_Issue Register'!C11</f>
        <v>Cloud spend is monitored too late to prevent material budget variance.</v>
      </c>
      <c r="D11" s="8" t="str">
        <f>'2_Issue Register'!I11</f>
        <v>Emerging signal</v>
      </c>
      <c r="E11" s="8" t="str">
        <f>'2_Issue Register'!P11</f>
        <v>P2 — High</v>
      </c>
      <c r="F11" s="21">
        <f>'2_Issue Register'!O11</f>
        <v>77</v>
      </c>
      <c r="G11" s="8" t="str">
        <f>IF('2_Issue Register'!U11&lt;&gt;"",'2_Issue Register'!U11,'2_Issue Register'!T11)</f>
        <v>0–30 days</v>
      </c>
      <c r="H11" s="8" t="str">
        <f>'2_Issue Register'!Q11</f>
        <v>Requires billing access, technical ownership and agreement on useful allocation and alert thresholds.</v>
      </c>
      <c r="I11" s="8" t="str">
        <f>'2_Issue Register'!R11</f>
        <v>Priya / platform owner + Director of Operations + Finance</v>
      </c>
      <c r="J11" s="8" t="str">
        <f>'2_Issue Register'!V11</f>
        <v>Implement weekly cloud-cost reporting, anomaly alerts, tagged ownership and an escalation process for material variance.</v>
      </c>
      <c r="K11" s="8" t="str">
        <f>'2_Issue Register'!W11</f>
        <v>Cloud spend is visible during the month; material spikes trigger named follow-up within one business day and quarterly surprise variance is eliminated.</v>
      </c>
    </row>
    <row r="12" spans="2:11" s="17" customFormat="1" ht="39.5" customHeight="1">
      <c r="B12" s="17" t="str">
        <f>'2_Issue Register'!B18</f>
        <v>ONB-02</v>
      </c>
      <c r="C12" s="8" t="str">
        <f>'2_Issue Register'!C18</f>
        <v>New hires lack a structured first-30-day plan and integration into the broader firm.</v>
      </c>
      <c r="D12" s="8" t="str">
        <f>'2_Issue Register'!I18</f>
        <v>Weak or unconfirmed</v>
      </c>
      <c r="E12" s="8" t="str">
        <f>'2_Issue Register'!P18</f>
        <v>P2 — High</v>
      </c>
      <c r="F12" s="21">
        <f>'2_Issue Register'!O18</f>
        <v>77</v>
      </c>
      <c r="G12" s="8" t="str">
        <f>IF('2_Issue Register'!U18&lt;&gt;"",'2_Issue Register'!U18,'2_Issue Register'!T18)</f>
        <v>0–30 days</v>
      </c>
      <c r="H12" s="8" t="str">
        <f>'2_Issue Register'!Q18</f>
        <v>Should build on the technical-access checklist and requires hiring-manager ownership.</v>
      </c>
      <c r="I12" s="8" t="str">
        <f>'2_Issue Register'!R18</f>
        <v>Director of Operations + hiring managers + Elena / HR</v>
      </c>
      <c r="J12" s="8" t="str">
        <f>'2_Issue Register'!V18</f>
        <v>Create role-based 30-day plans, stakeholder maps, buddies and manager check-ins.</v>
      </c>
      <c r="K12" s="8" t="str">
        <f>'2_Issue Register'!W18</f>
        <v>Every new hire has documented first-month outcomes and key relationships; 30-day ramp feedback is collected and reviewed.</v>
      </c>
    </row>
    <row r="13" spans="2:11" s="17" customFormat="1" ht="39.5" customHeight="1">
      <c r="B13" s="17" t="str">
        <f>'2_Issue Register'!B29</f>
        <v>VEN-01</v>
      </c>
      <c r="C13" s="8" t="str">
        <f>'2_Issue Register'!C29</f>
        <v>DI lacks a complete vendor inventory, accountable owners and disciplined renewal management.</v>
      </c>
      <c r="D13" s="8" t="str">
        <f>'2_Issue Register'!I29</f>
        <v>Emerging signal</v>
      </c>
      <c r="E13" s="8" t="str">
        <f>'2_Issue Register'!P29</f>
        <v>P2 — High</v>
      </c>
      <c r="F13" s="21">
        <f>'2_Issue Register'!O29</f>
        <v>77</v>
      </c>
      <c r="G13" s="8" t="str">
        <f>IF('2_Issue Register'!U29&lt;&gt;"",'2_Issue Register'!U29,'2_Issue Register'!T29)</f>
        <v>0–30 days</v>
      </c>
      <c r="H13" s="8" t="str">
        <f>'2_Issue Register'!Q29</f>
        <v>Requires contract and payment data from Finance / Procurement and business-owner validation.</v>
      </c>
      <c r="I13" s="8" t="str">
        <f>'2_Issue Register'!R29</f>
        <v>Director of Operations + Finance / Procurement</v>
      </c>
      <c r="J13" s="8" t="str">
        <f>'2_Issue Register'!V29</f>
        <v>Complete a vendor and contract audit, centralize records, assign owners and institute 120/90/60-day renewal reviews.</v>
      </c>
      <c r="K13" s="8" t="str">
        <f>'2_Issue Register'!W29</f>
        <v>All active vendors have an owner, cost, usage status, contract location and renewal decision date; immediate duplicate and unused spend is addressed.</v>
      </c>
    </row>
    <row r="14" spans="2:11" s="17" customFormat="1" ht="66" customHeight="1">
      <c r="B14" s="17" t="str">
        <f>'2_Issue Register'!B6</f>
        <v>CORP-01</v>
      </c>
      <c r="C14" s="8" t="str">
        <f>'2_Issue Register'!C6</f>
        <v>Vendor and data-source onboarding lacks a fast, controlled end-to-end approval path.</v>
      </c>
      <c r="D14" s="8" t="str">
        <f>'2_Issue Register'!I6</f>
        <v>Strong signal</v>
      </c>
      <c r="E14" s="8" t="str">
        <f>'2_Issue Register'!P6</f>
        <v>P2 — High</v>
      </c>
      <c r="F14" s="21">
        <f>'2_Issue Register'!O6</f>
        <v>77</v>
      </c>
      <c r="G14" s="8" t="str">
        <f>IF('2_Issue Register'!U6&lt;&gt;"",'2_Issue Register'!U6,'2_Issue Register'!T6)</f>
        <v>31–60 days</v>
      </c>
      <c r="H14" s="8" t="str">
        <f>'2_Issue Register'!Q6</f>
        <v>Scope is limited to supplier selection, diligence, contracting and pre-use approval; project and data-use review after acquisition sits under CORP-02.</v>
      </c>
      <c r="I14" s="8" t="str">
        <f>'2_Issue Register'!R6</f>
        <v>Director of Operations + Finance / Procurement + Legal / Compliance + Security</v>
      </c>
      <c r="J14" s="8" t="str">
        <f>'2_Issue Register'!V6</f>
        <v>Create one risk-tiered intake, pre-approved paths for routine tools, standard due-diligence requirements, visible stages and service targets.</v>
      </c>
      <c r="K14" s="8" t="str">
        <f>'2_Issue Register'!W6</f>
        <v>All new vendors and data sources enter one workflow; routine requests follow a fast path and no tool reaches use before required reviews are complete.</v>
      </c>
    </row>
    <row r="15" spans="2:11" s="17" customFormat="1" ht="52.75" customHeight="1">
      <c r="B15" s="17" t="str">
        <f>'2_Issue Register'!B19</f>
        <v>ORG-01</v>
      </c>
      <c r="C15" s="8" t="str">
        <f>'2_Issue Register'!C19</f>
        <v>Recurring cross-boundary workflows lack explicit process owners, decision rights and escalation paths.</v>
      </c>
      <c r="D15" s="8" t="str">
        <f>'2_Issue Register'!I19</f>
        <v>Strong signal</v>
      </c>
      <c r="E15" s="8" t="str">
        <f>'2_Issue Register'!P19</f>
        <v>P2 — High</v>
      </c>
      <c r="F15" s="21">
        <f>'2_Issue Register'!O19</f>
        <v>77</v>
      </c>
      <c r="G15" s="8" t="str">
        <f>IF('2_Issue Register'!U19&lt;&gt;"",'2_Issue Register'!U19,'2_Issue Register'!T19)</f>
        <v>31–60 days</v>
      </c>
      <c r="H15" s="8" t="str">
        <f>'2_Issue Register'!Q19</f>
        <v>Requires David and functional leaders to agree which decisions Operations may make, coordinate or escalate. Process-specific gaps remain in their own issue rows.</v>
      </c>
      <c r="I15" s="8" t="str">
        <f>'2_Issue Register'!R19</f>
        <v>Director of Operations + David + functional leaders</v>
      </c>
      <c r="J15" s="8" t="str">
        <f>'2_Issue Register'!V19</f>
        <v>Define a decision-rights architecture and assign one operational owner for the highest-frequency cross-boundary workflows; keep specialist judgment with the relevant function.</v>
      </c>
      <c r="K15" s="8" t="str">
        <f>'2_Issue Register'!W19</f>
        <v>Priority workflows have one execution owner, explicit approvers and an escalation path; routine coordination no longer defaults to David or pod leaders.</v>
      </c>
    </row>
    <row r="16" spans="2:11" s="17" customFormat="1" ht="52.75" customHeight="1">
      <c r="B16" s="17" t="str">
        <f>'2_Issue Register'!B22</f>
        <v>PCE-01</v>
      </c>
      <c r="C16" s="8" t="str">
        <f>'2_Issue Register'!C22</f>
        <v>Portfolio-company engagements begin without a standardized handoff or clear counterpart responsibilities.</v>
      </c>
      <c r="D16" s="8" t="str">
        <f>'2_Issue Register'!I22</f>
        <v>Weak or unconfirmed</v>
      </c>
      <c r="E16" s="8" t="str">
        <f>'2_Issue Register'!P22</f>
        <v>P2 — High</v>
      </c>
      <c r="F16" s="21">
        <f>'2_Issue Register'!O22</f>
        <v>77</v>
      </c>
      <c r="G16" s="8" t="str">
        <f>IF('2_Issue Register'!U22&lt;&gt;"",'2_Issue Register'!U22,'2_Issue Register'!T22)</f>
        <v>31–60 days</v>
      </c>
      <c r="H16" s="8" t="str">
        <f>'2_Issue Register'!Q22</f>
        <v>Requires sponsor alignment and should be integrated into project intake and scoping.</v>
      </c>
      <c r="I16" s="8" t="str">
        <f>'2_Issue Register'!R22</f>
        <v>Director of Operations + Marcus + investment sponsor</v>
      </c>
      <c r="J16" s="8" t="str">
        <f>'2_Issue Register'!V22</f>
        <v>Create a portfolio-company engagement brief, sponsor checklist and mutual responsibility agreement.</v>
      </c>
      <c r="K16" s="8" t="str">
        <f>'2_Issue Register'!W22</f>
        <v>New engagements begin with a named sponsor and company counterpart, agreed problem statement, required inputs and escalation path.</v>
      </c>
    </row>
    <row r="17" spans="2:11" s="17" customFormat="1" ht="52.75" customHeight="1">
      <c r="B17" s="17" t="str">
        <f>'2_Issue Register'!B28</f>
        <v>SCP-01</v>
      </c>
      <c r="C17" s="8" t="str">
        <f>'2_Issue Register'!C28</f>
        <v>Accepted projects can begin without clear scope, stakeholder obligations or a definition of done.</v>
      </c>
      <c r="D17" s="8" t="str">
        <f>'2_Issue Register'!I28</f>
        <v>Emerging signal</v>
      </c>
      <c r="E17" s="8" t="str">
        <f>'2_Issue Register'!P28</f>
        <v>P2 — High</v>
      </c>
      <c r="F17" s="21">
        <f>'2_Issue Register'!O28</f>
        <v>77</v>
      </c>
      <c r="G17" s="8" t="str">
        <f>IF('2_Issue Register'!U28&lt;&gt;"",'2_Issue Register'!U28,'2_Issue Register'!T28)</f>
        <v>31–60 days</v>
      </c>
      <c r="H17" s="8" t="str">
        <f>'2_Issue Register'!Q28</f>
        <v>Should align with the portfolio-company engagement model and intake gate.</v>
      </c>
      <c r="I17" s="8" t="str">
        <f>'2_Issue Register'!R28</f>
        <v>Director of Operations + Marcus</v>
      </c>
      <c r="J17" s="8" t="str">
        <f>'2_Issue Register'!V28</f>
        <v>Introduce a one-page engagement charter and stage gates for material projects.</v>
      </c>
      <c r="K17" s="8" t="str">
        <f>'2_Issue Register'!W28</f>
        <v>All newly accepted material projects document scope, sponsor, inputs, milestones, definition of done and transition approach before work begins.</v>
      </c>
    </row>
    <row r="18" spans="2:11" s="17" customFormat="1" ht="39.5" customHeight="1">
      <c r="B18" s="17" t="str">
        <f>'2_Issue Register'!B30</f>
        <v>WFP-01</v>
      </c>
      <c r="C18" s="8" t="str">
        <f>'2_Issue Register'!C30</f>
        <v>DI lacks a clear, sequenced workforce plan for growth from 10 to 30.</v>
      </c>
      <c r="D18" s="8" t="str">
        <f>'2_Issue Register'!I30</f>
        <v>Weak or unconfirmed</v>
      </c>
      <c r="E18" s="8" t="str">
        <f>'2_Issue Register'!P30</f>
        <v>P2 — High</v>
      </c>
      <c r="F18" s="21">
        <f>'2_Issue Register'!O30</f>
        <v>77</v>
      </c>
      <c r="G18" s="8" t="str">
        <f>IF('2_Issue Register'!U30&lt;&gt;"",'2_Issue Register'!U30,'2_Issue Register'!T30)</f>
        <v>31–60 days</v>
      </c>
      <c r="H18" s="8" t="str">
        <f>'2_Issue Register'!Q30</f>
        <v>Depends on strategy, portfolio priorities, capacity baseline and target organization choices.</v>
      </c>
      <c r="I18" s="8" t="str">
        <f>'2_Issue Register'!R30</f>
        <v>David + Director of Operations + Elena / HR + pod leads</v>
      </c>
      <c r="J18" s="8" t="str">
        <f>'2_Issue Register'!V30</f>
        <v>Create an 18-month role and capability plan with hiring sequence, triggers, cost and dependencies.</v>
      </c>
      <c r="K18" s="8" t="str">
        <f>'2_Issue Register'!W30</f>
        <v>Each planned role has a business rationale, timing trigger, reporting line and budget; recruiting begins from an agreed sequence rather than immediate pressure.</v>
      </c>
    </row>
    <row r="19" spans="2:11" s="17" customFormat="1" ht="52.75" customHeight="1">
      <c r="B19" s="17" t="str">
        <f>'2_Issue Register'!B7</f>
        <v>CORP-02</v>
      </c>
      <c r="C19" s="8" t="str">
        <f>'2_Issue Register'!C7</f>
        <v>Projects, deployments and new data uses reach Legal and Compliance late and follow an opaque, overly bespoke review path.</v>
      </c>
      <c r="D19" s="8" t="str">
        <f>'2_Issue Register'!I7</f>
        <v>Emerging signal</v>
      </c>
      <c r="E19" s="8" t="str">
        <f>'2_Issue Register'!P7</f>
        <v>P2 — High</v>
      </c>
      <c r="F19" s="21">
        <f>'2_Issue Register'!O7</f>
        <v>77</v>
      </c>
      <c r="G19" s="8" t="str">
        <f>IF('2_Issue Register'!U7&lt;&gt;"",'2_Issue Register'!U7,'2_Issue Register'!T7)</f>
        <v>61–90 days</v>
      </c>
      <c r="H19" s="8" t="str">
        <f>'2_Issue Register'!Q7</f>
        <v>Excludes supplier onboarding, which sits under CORP-01; requires confirmation of Legal versus Compliance authority and risk tiers.</v>
      </c>
      <c r="I19" s="8" t="str">
        <f>'2_Issue Register'!R7</f>
        <v>Director of Operations + Legal + Compliance</v>
      </c>
      <c r="J19" s="8" t="str">
        <f>'2_Issue Register'!V7</f>
        <v>Embed simple risk triggers in project intake, provide standard submission templates and publish review stages and target turnaround by risk tier.</v>
      </c>
      <c r="K19" s="8" t="str">
        <f>'2_Issue Register'!W7</f>
        <v>Relevant work reaches reviewers during planning; DI can see status and expected timing, and routine reviews no longer require repeated translation.</v>
      </c>
    </row>
    <row r="20" spans="2:11" s="17" customFormat="1" ht="39.5" customHeight="1">
      <c r="B20" s="17" t="str">
        <f>'2_Issue Register'!B8</f>
        <v>CORP-03</v>
      </c>
      <c r="C20" s="8" t="str">
        <f>'2_Issue Register'!C8</f>
        <v>Ongoing security and data-access requests lack predictable routing, context and turnaround.</v>
      </c>
      <c r="D20" s="8" t="str">
        <f>'2_Issue Register'!I8</f>
        <v>Emerging signal</v>
      </c>
      <c r="E20" s="8" t="str">
        <f>'2_Issue Register'!P8</f>
        <v>P2 — High</v>
      </c>
      <c r="F20" s="21">
        <f>'2_Issue Register'!O8</f>
        <v>77</v>
      </c>
      <c r="G20" s="8" t="str">
        <f>IF('2_Issue Register'!U8&lt;&gt;"",'2_Issue Register'!U8,'2_Issue Register'!T8)</f>
        <v>61–90 days</v>
      </c>
      <c r="H20" s="8" t="str">
        <f>'2_Issue Register'!Q8</f>
        <v>Excludes new-hire provisioning, which sits under ONB-01; requires IT / SecOps capacity and separation of Deerfield versus portfolio-company steps.</v>
      </c>
      <c r="I20" s="8" t="str">
        <f>'2_Issue Register'!R8</f>
        <v>Director of Operations + IT / SecOps</v>
      </c>
      <c r="J20" s="8" t="str">
        <f>'2_Issue Register'!V8</f>
        <v>Define request types, standard context, named escalation and service targets for common security and access needs.</v>
      </c>
      <c r="K20" s="8" t="str">
        <f>'2_Issue Register'!W8</f>
        <v>Common requests use a standard route with visible ownership and timing; baseline turnaround is measured and the largest delays have assigned fixes.</v>
      </c>
    </row>
    <row r="21" spans="2:11" s="17" customFormat="1" ht="52.75" customHeight="1">
      <c r="B21" s="17" t="str">
        <f>'2_Issue Register'!B10</f>
        <v>FIN-01</v>
      </c>
      <c r="C21" s="8" t="str">
        <f>'2_Issue Register'!C10</f>
        <v>DI lacks a regular, driver-based financial planning process connecting roadmap, hiring, vendors and technology use to spend.</v>
      </c>
      <c r="D21" s="8" t="str">
        <f>'2_Issue Register'!I10</f>
        <v>Emerging signal</v>
      </c>
      <c r="E21" s="8" t="str">
        <f>'2_Issue Register'!P10</f>
        <v>P2 — High</v>
      </c>
      <c r="F21" s="21">
        <f>'2_Issue Register'!O10</f>
        <v>77</v>
      </c>
      <c r="G21" s="8" t="str">
        <f>IF('2_Issue Register'!U10&lt;&gt;"",'2_Issue Register'!U10,'2_Issue Register'!T10)</f>
        <v>61–90 days</v>
      </c>
      <c r="H21" s="8" t="str">
        <f>'2_Issue Register'!Q10</f>
        <v>Depends on the initial portfolio view, workforce plan and vendor inventory; Finance remains the owner of firm-wide financial policy.</v>
      </c>
      <c r="I21" s="8" t="str">
        <f>'2_Issue Register'!R10</f>
        <v>Director of Operations + James / Finance + pod leads</v>
      </c>
      <c r="J21" s="8" t="str">
        <f>'2_Issue Register'!V10</f>
        <v>Establish a monthly financial pulse and rolling six-month forecast linked to headcount, roadmap choices, cloud use and major vendor commitments.</v>
      </c>
      <c r="K21" s="8" t="str">
        <f>'2_Issue Register'!W10</f>
        <v>Finance receives 30–60 days' visibility on material changes; budget discussions use a common forecast rather than urgent invoices and retrospective explanations.</v>
      </c>
    </row>
    <row r="22" spans="2:11" s="17" customFormat="1" ht="39.5" customHeight="1">
      <c r="B22" s="17" t="str">
        <f>'2_Issue Register'!B9</f>
        <v>DPG-01</v>
      </c>
      <c r="C22" s="8" t="str">
        <f>'2_Issue Register'!C9</f>
        <v>DI lacks an explicit governance framework for sensitive data and outbound third-party data use.</v>
      </c>
      <c r="D22" s="8" t="str">
        <f>'2_Issue Register'!I9</f>
        <v>Emerging signal</v>
      </c>
      <c r="E22" s="8" t="str">
        <f>'2_Issue Register'!P9</f>
        <v>P2 — High</v>
      </c>
      <c r="F22" s="21">
        <f>'2_Issue Register'!O9</f>
        <v>77</v>
      </c>
      <c r="G22" s="8" t="str">
        <f>IF('2_Issue Register'!U9&lt;&gt;"",'2_Issue Register'!U9,'2_Issue Register'!T9)</f>
        <v>Post-90 days</v>
      </c>
      <c r="H22" s="8" t="str">
        <f>'2_Issue Register'!Q9</f>
        <v>Requires data inventory, Compliance / Legal standards and alignment with vendor intake and model governance.</v>
      </c>
      <c r="I22" s="8" t="str">
        <f>'2_Issue Register'!R9</f>
        <v>Compliance / Legal + Priya + Director of Operations</v>
      </c>
      <c r="J22" s="8" t="str">
        <f>'2_Issue Register'!V9</f>
        <v>Define data-risk tiers, sandbox-to-production triggers and minimum data-flow, rights and privacy documentation.</v>
      </c>
      <c r="K22" s="8" t="str">
        <f>'2_Issue Register'!W9</f>
        <v>Priority sensitive datasets have documented flows and permitted uses; new production uses cannot proceed without the required privacy and rights record.</v>
      </c>
    </row>
    <row r="23" spans="2:11" s="17" customFormat="1" ht="39.5" customHeight="1">
      <c r="B23" s="17" t="str">
        <f>'2_Issue Register'!B14</f>
        <v>IAM-01</v>
      </c>
      <c r="C23" s="8" t="str">
        <f>'2_Issue Register'!C14</f>
        <v>Access controls and information barriers are not documented or evidenced at the required level.</v>
      </c>
      <c r="D23" s="8" t="str">
        <f>'2_Issue Register'!I14</f>
        <v>Emerging signal</v>
      </c>
      <c r="E23" s="8" t="str">
        <f>'2_Issue Register'!P14</f>
        <v>P2 — High</v>
      </c>
      <c r="F23" s="21">
        <f>'2_Issue Register'!O14</f>
        <v>77</v>
      </c>
      <c r="G23" s="8" t="str">
        <f>IF('2_Issue Register'!U14&lt;&gt;"",'2_Issue Register'!U14,'2_Issue Register'!T14)</f>
        <v>Post-90 days</v>
      </c>
      <c r="H23" s="8" t="str">
        <f>'2_Issue Register'!Q14</f>
        <v>Requires authoritative system and data inventories and ownership from IT / SecOps and Compliance.</v>
      </c>
      <c r="I23" s="8" t="str">
        <f>'2_Issue Register'!R14</f>
        <v>IT / SecOps + Compliance + Director of Operations</v>
      </c>
      <c r="J23" s="8" t="str">
        <f>'2_Issue Register'!V14</f>
        <v>Create an access-control matrix for priority systems and data, assign review owners and establish evidence retention.</v>
      </c>
      <c r="K23" s="8" t="str">
        <f>'2_Issue Register'!W14</f>
        <v>DI can identify current access to high-risk systems and data and demonstrate review of those permissions; urgent exceptions are remediated.</v>
      </c>
    </row>
    <row r="24" spans="2:11" s="17" customFormat="1" ht="52.75" customHeight="1">
      <c r="B24" s="17" t="str">
        <f>'2_Issue Register'!B23</f>
        <v>PCE-02</v>
      </c>
      <c r="C24" s="8" t="str">
        <f>'2_Issue Register'!C23</f>
        <v>Regulatory responsibility and liability are unclear when DI deploys technology to portfolio companies.</v>
      </c>
      <c r="D24" s="8" t="str">
        <f>'2_Issue Register'!I23</f>
        <v>Weak or unconfirmed</v>
      </c>
      <c r="E24" s="8" t="str">
        <f>'2_Issue Register'!P23</f>
        <v>P2 — High</v>
      </c>
      <c r="F24" s="21">
        <f>'2_Issue Register'!O23</f>
        <v>77</v>
      </c>
      <c r="G24" s="8" t="str">
        <f>IF('2_Issue Register'!U23&lt;&gt;"",'2_Issue Register'!U23,'2_Issue Register'!T23)</f>
        <v>Post-90 days</v>
      </c>
      <c r="H24" s="8" t="str">
        <f>'2_Issue Register'!Q23</f>
        <v>Requires Legal and Compliance policy decisions and an inventory of current deployments.</v>
      </c>
      <c r="I24" s="8" t="str">
        <f>'2_Issue Register'!R23</f>
        <v>Compliance / Legal + Director of Operations + Marcus</v>
      </c>
      <c r="J24" s="8" t="str">
        <f>'2_Issue Register'!V23</f>
        <v>Define a risk and accountability framework for portfolio deployments, with standard terms and review triggers.</v>
      </c>
      <c r="K24" s="8" t="str">
        <f>'2_Issue Register'!W23</f>
        <v>Every active deployment has documented accountability, permitted use, data responsibilities and an escalation owner; new deployments use the standard framework.</v>
      </c>
    </row>
    <row r="25" spans="2:11" s="17" customFormat="1" ht="39.5" customHeight="1">
      <c r="B25" s="17" t="str">
        <f>'2_Issue Register'!B4</f>
        <v>BVC-01</v>
      </c>
      <c r="C25" s="8" t="str">
        <f>'2_Issue Register'!C4</f>
        <v>DI lacks full business-case visibility connecting material project spend to the outcomes created.</v>
      </c>
      <c r="D25" s="8" t="str">
        <f>'2_Issue Register'!I4</f>
        <v>Emerging signal</v>
      </c>
      <c r="E25" s="8" t="str">
        <f>'2_Issue Register'!P4</f>
        <v>P3 — Medium</v>
      </c>
      <c r="F25" s="21">
        <f>'2_Issue Register'!O4</f>
        <v>62</v>
      </c>
      <c r="G25" s="8" t="str">
        <f>IF('2_Issue Register'!U4&lt;&gt;"",'2_Issue Register'!U4,'2_Issue Register'!T4)</f>
        <v>Post-90 days</v>
      </c>
      <c r="H25" s="8" t="str">
        <f>'2_Issue Register'!Q4</f>
        <v>Requires stable project identifiers, material-cost tagging and credible outcome measures that avoid false precision or overstated investment causality.</v>
      </c>
      <c r="I25" s="8" t="str">
        <f>'2_Issue Register'!R4</f>
        <v>Director of Operations + Finance + pod leads + business sponsors</v>
      </c>
      <c r="J25" s="8" t="str">
        <f>'2_Issue Register'!V4</f>
        <v>Add material cost ownership and expected outcome measures to intake, then review realized cost and outcomes at defined post-launch points.</v>
      </c>
      <c r="K25" s="8" t="str">
        <f>'2_Issue Register'!W4</f>
        <v>Material initiatives have an attributable cost, an accountable outcome owner and a defensible measure of value for prioritization and partner reporting.</v>
      </c>
    </row>
    <row r="26" spans="2:11" s="17" customFormat="1" ht="39.5" customHeight="1">
      <c r="B26" s="17" t="str">
        <f>'2_Issue Register'!B16</f>
        <v>MDL-01</v>
      </c>
      <c r="C26" s="8" t="str">
        <f>'2_Issue Register'!C16</f>
        <v>DI lacks a formal inventory and governance lifecycle for AI models used in investment activity.</v>
      </c>
      <c r="D26" s="8" t="str">
        <f>'2_Issue Register'!I16</f>
        <v>Weak or unconfirmed</v>
      </c>
      <c r="E26" s="8" t="str">
        <f>'2_Issue Register'!P16</f>
        <v>P3 — Medium</v>
      </c>
      <c r="F26" s="21">
        <f>'2_Issue Register'!O16</f>
        <v>62</v>
      </c>
      <c r="G26" s="8" t="str">
        <f>IF('2_Issue Register'!U16&lt;&gt;"",'2_Issue Register'!U16,'2_Issue Register'!T16)</f>
        <v>Post-90 days</v>
      </c>
      <c r="H26" s="8" t="str">
        <f>'2_Issue Register'!Q16</f>
        <v>Requires Compliance standards, technical-owner input and scoping to investment-relevant production models first.</v>
      </c>
      <c r="I26" s="8" t="str">
        <f>'2_Issue Register'!R16</f>
        <v>Compliance + Priya / model owners + Director of Operations</v>
      </c>
      <c r="J26" s="8" t="str">
        <f>'2_Issue Register'!V16</f>
        <v>Create a model inventory, minimum model record, accountable owners and risk-based validation and monitoring cadence.</v>
      </c>
      <c r="K26" s="8" t="str">
        <f>'2_Issue Register'!W16</f>
        <v>All production investment-related models are inventoried with owner, purpose, data, limitations and review status; highest-risk gaps have remediation plans.</v>
      </c>
    </row>
    <row r="27" spans="2:11" s="17" customFormat="1" ht="39.5" customHeight="1">
      <c r="B27" s="17" t="str">
        <f>'2_Issue Register'!B25</f>
        <v>PLC-01</v>
      </c>
      <c r="C27" s="8" t="str">
        <f>'2_Issue Register'!C25</f>
        <v>Post-launch ownership, support expectations and critical product knowledge are not consistently maintained.</v>
      </c>
      <c r="D27" s="8" t="str">
        <f>'2_Issue Register'!I25</f>
        <v>Emerging signal</v>
      </c>
      <c r="E27" s="8" t="str">
        <f>'2_Issue Register'!P25</f>
        <v>P3 — Medium</v>
      </c>
      <c r="F27" s="21">
        <f>'2_Issue Register'!O25</f>
        <v>62</v>
      </c>
      <c r="G27" s="8" t="str">
        <f>IF('2_Issue Register'!U25&lt;&gt;"",'2_Issue Register'!U25,'2_Issue Register'!T25)</f>
        <v>Post-90 days</v>
      </c>
      <c r="H27" s="8" t="str">
        <f>'2_Issue Register'!Q25</f>
        <v>Requires a current inventory of deployed products and protected technical-owner time.</v>
      </c>
      <c r="I27" s="8" t="str">
        <f>'2_Issue Register'!R25</f>
        <v>Director of Operations + technical product owners</v>
      </c>
      <c r="J27" s="8" t="str">
        <f>'2_Issue Register'!V25</f>
        <v>Create a product inventory, assign lifecycle owners and set proportional documentation and support standards.</v>
      </c>
      <c r="K27" s="8" t="str">
        <f>'2_Issue Register'!W25</f>
        <v>Every production tool has an owner, support model and current core documentation; orphaned or obsolete products are identified.</v>
      </c>
    </row>
    <row r="28" spans="2:11" s="17" customFormat="1" ht="39.5" customHeight="1">
      <c r="B28" s="17" t="str">
        <f>'2_Issue Register'!B26</f>
        <v>PLT-01</v>
      </c>
      <c r="C28" s="8" t="str">
        <f>'2_Issue Register'!C26</f>
        <v>Ownership and standards for shared infrastructure, DevOps and cross-pod data foundations are unclear.</v>
      </c>
      <c r="D28" s="8" t="str">
        <f>'2_Issue Register'!I26</f>
        <v>Weak or unconfirmed</v>
      </c>
      <c r="E28" s="8" t="str">
        <f>'2_Issue Register'!P26</f>
        <v>P3 — Medium</v>
      </c>
      <c r="F28" s="21">
        <f>'2_Issue Register'!O26</f>
        <v>62</v>
      </c>
      <c r="G28" s="8" t="str">
        <f>IF('2_Issue Register'!U26&lt;&gt;"",'2_Issue Register'!U26,'2_Issue Register'!T26)</f>
        <v>Post-90 days</v>
      </c>
      <c r="H28" s="8" t="str">
        <f>'2_Issue Register'!Q26</f>
        <v>Requires a technical architecture and responsibility review with both pods.</v>
      </c>
      <c r="I28" s="8" t="str">
        <f>'2_Issue Register'!R26</f>
        <v>Priya + designated platform owner + Director of Operations</v>
      </c>
      <c r="J28" s="8" t="str">
        <f>'2_Issue Register'!V26</f>
        <v>Map shared services, assign technical owners and define minimum standards for interfaces, testing and data quality.</v>
      </c>
      <c r="K28" s="8" t="str">
        <f>'2_Issue Register'!W26</f>
        <v>Critical shared services have named owners, service expectations and change controls; duplicate or unmanaged foundations are identified.</v>
      </c>
    </row>
    <row r="29" spans="2:11" s="17" customFormat="1" ht="39.5" customHeight="1">
      <c r="B29" s="17" t="str">
        <f>'2_Issue Register'!B31</f>
        <v>WFP-02</v>
      </c>
      <c r="C29" s="8" t="str">
        <f>'2_Issue Register'!C31</f>
        <v>DI has not resolved how leadership structure and management capacity should evolve as the team grows.</v>
      </c>
      <c r="D29" s="8" t="str">
        <f>'2_Issue Register'!I31</f>
        <v>Weak or unconfirmed</v>
      </c>
      <c r="E29" s="8" t="str">
        <f>'2_Issue Register'!P31</f>
        <v>P3 — Medium</v>
      </c>
      <c r="F29" s="21">
        <f>'2_Issue Register'!O31</f>
        <v>62</v>
      </c>
      <c r="G29" s="8" t="str">
        <f>IF('2_Issue Register'!U31&lt;&gt;"",'2_Issue Register'!U31,'2_Issue Register'!T31)</f>
        <v>Post-90 days</v>
      </c>
      <c r="H29" s="8" t="str">
        <f>'2_Issue Register'!Q31</f>
        <v>Requires target-organization design and explicit consideration of David's preference to preserve a flat structure.</v>
      </c>
      <c r="I29" s="8" t="str">
        <f>'2_Issue Register'!R31</f>
        <v>David + Director of Operations + Elena / HR</v>
      </c>
      <c r="J29" s="8" t="str">
        <f>'2_Issue Register'!V31</f>
        <v>Design and test target spans, pod-lead accountabilities and decision delegation before adding management layers.</v>
      </c>
      <c r="K29" s="8" t="str">
        <f>'2_Issue Register'!W31</f>
        <v>DI has an agreed target organization for 15, 20 and 30 people, with trigger points for new leadership roles and clear delegated decisions.</v>
      </c>
    </row>
    <row r="30" spans="2:11" s="17" customFormat="1" ht="39.5" customHeight="1">
      <c r="B30" s="17" t="str">
        <f>'2_Issue Register'!B13</f>
        <v>HIR-02</v>
      </c>
      <c r="C30" s="8" t="str">
        <f>'2_Issue Register'!C13</f>
        <v>Firm-wide office expectations may constrain access to specialized AI talent.</v>
      </c>
      <c r="D30" s="8" t="str">
        <f>'2_Issue Register'!I13</f>
        <v>Weak or unconfirmed</v>
      </c>
      <c r="E30" s="8" t="str">
        <f>'2_Issue Register'!P13</f>
        <v>P4 — Longer-term</v>
      </c>
      <c r="F30" s="21">
        <f>'2_Issue Register'!O13</f>
        <v>49</v>
      </c>
      <c r="G30" s="8" t="str">
        <f>IF('2_Issue Register'!U13&lt;&gt;"",'2_Issue Register'!U13,'2_Issue Register'!T13)</f>
        <v>Post-90 days</v>
      </c>
      <c r="H30" s="8" t="str">
        <f>'2_Issue Register'!Q13</f>
        <v>Requires evidence of candidate losses and a clear role-by-role talent-market case.</v>
      </c>
      <c r="I30" s="8" t="str">
        <f>'2_Issue Register'!R13</f>
        <v>David + Elena / HR + Director of Operations</v>
      </c>
      <c r="J30" s="8" t="str">
        <f>'2_Issue Register'!V13</f>
        <v>Track location-related candidate losses and define an exception framework only if evidence supports it.</v>
      </c>
      <c r="K30" s="8" t="str">
        <f>'2_Issue Register'!W13</f>
        <v>DI has data on location constraints and an agreed decision rule; no policy exception is proposed without demonstrated recruiting impact.</v>
      </c>
    </row>
    <row r="31" spans="2:11" s="17" customFormat="1" ht="39.5" customHeight="1">
      <c r="B31" s="17" t="str">
        <f>'2_Issue Register'!B15</f>
        <v>INT-01</v>
      </c>
      <c r="C31" s="8" t="str">
        <f>'2_Issue Register'!C15</f>
        <v>DI is insufficiently integrated with the broader investment organization, weakening shared context and support for resources.</v>
      </c>
      <c r="D31" s="8" t="str">
        <f>'2_Issue Register'!I15</f>
        <v>Weak or unconfirmed</v>
      </c>
      <c r="E31" s="8" t="str">
        <f>'2_Issue Register'!P15</f>
        <v>P4 — Longer-term</v>
      </c>
      <c r="F31" s="21">
        <f>'2_Issue Register'!O15</f>
        <v>49</v>
      </c>
      <c r="G31" s="8" t="str">
        <f>IF('2_Issue Register'!U15&lt;&gt;"",'2_Issue Register'!U15,'2_Issue Register'!T15)</f>
        <v>Post-90 days</v>
      </c>
      <c r="H31" s="8" t="str">
        <f>'2_Issue Register'!Q15</f>
        <v>Requires direct validation with Investment Partners and evidence that the perceived silo affects decisions or adoption.</v>
      </c>
      <c r="I31" s="8" t="str">
        <f>'2_Issue Register'!R15</f>
        <v>David + Director of Operations</v>
      </c>
      <c r="J31" s="8" t="str">
        <f>'2_Issue Register'!V15</f>
        <v>Validate stakeholder needs and add targeted portfolio and value communication rather than a broad meeting layer.</v>
      </c>
      <c r="K31" s="8" t="str">
        <f>'2_Issue Register'!W15</f>
        <v>Within 90 days, partner interviews confirm whether this is a material issue and identify the smallest useful engagement mechanism.</v>
      </c>
    </row>
    <row r="32" spans="2:11" s="17" customFormat="1" ht="39.5" customHeight="1">
      <c r="B32" s="17" t="str">
        <f>'2_Issue Register'!B20</f>
        <v>ORG-02</v>
      </c>
      <c r="C32" s="8" t="str">
        <f>'2_Issue Register'!C20</f>
        <v>Performance management is informal and insufficiently documented.</v>
      </c>
      <c r="D32" s="8" t="str">
        <f>'2_Issue Register'!I20</f>
        <v>Weak or unconfirmed</v>
      </c>
      <c r="E32" s="8" t="str">
        <f>'2_Issue Register'!P20</f>
        <v>P4 — Longer-term</v>
      </c>
      <c r="F32" s="21">
        <f>'2_Issue Register'!O20</f>
        <v>49</v>
      </c>
      <c r="G32" s="8" t="str">
        <f>IF('2_Issue Register'!U20&lt;&gt;"",'2_Issue Register'!U20,'2_Issue Register'!T20)</f>
        <v>Post-90 days</v>
      </c>
      <c r="H32" s="8" t="str">
        <f>'2_Issue Register'!Q20</f>
        <v>Requires clarified role expectations and HR agreement on minimum documentation.</v>
      </c>
      <c r="I32" s="8" t="str">
        <f>'2_Issue Register'!R20</f>
        <v>David + pod leads + Elena / HR</v>
      </c>
      <c r="J32" s="8" t="str">
        <f>'2_Issue Register'!V20</f>
        <v>Define quarterly expectation and feedback check-ins with minimum documentation tied to the annual process.</v>
      </c>
      <c r="K32" s="8" t="str">
        <f>'2_Issue Register'!W20</f>
        <v>All employees have current expectations and documented feedback; year-end decisions no longer rely only on memory and visibility.</v>
      </c>
    </row>
    <row r="33" spans="2:11" s="17" customFormat="1" ht="39.5" customHeight="1">
      <c r="B33" s="17" t="str">
        <f>'2_Issue Register'!B21</f>
        <v>ORG-03</v>
      </c>
      <c r="C33" s="8" t="str">
        <f>'2_Issue Register'!C21</f>
        <v>Annual compensation cycles do not provide a clear response path for time-sensitive retention risks.</v>
      </c>
      <c r="D33" s="8" t="str">
        <f>'2_Issue Register'!I21</f>
        <v>Weak or unconfirmed</v>
      </c>
      <c r="E33" s="8" t="str">
        <f>'2_Issue Register'!P21</f>
        <v>P4 — Longer-term</v>
      </c>
      <c r="F33" s="21">
        <f>'2_Issue Register'!O21</f>
        <v>49</v>
      </c>
      <c r="G33" s="8" t="str">
        <f>IF('2_Issue Register'!U21&lt;&gt;"",'2_Issue Register'!U21,'2_Issue Register'!T21)</f>
        <v>Post-90 days</v>
      </c>
      <c r="H33" s="8" t="str">
        <f>'2_Issue Register'!Q21</f>
        <v>Requires Compensation Committee policy and evidence on the frequency and impact of retention exceptions.</v>
      </c>
      <c r="I33" s="8" t="str">
        <f>'2_Issue Register'!R21</f>
        <v>Elena / HR + David + Compensation Committee</v>
      </c>
      <c r="J33" s="8" t="str">
        <f>'2_Issue Register'!V21</f>
        <v>Define a documented escalation and evidence standard for exceptional retention cases.</v>
      </c>
      <c r="K33" s="8" t="str">
        <f>'2_Issue Register'!W21</f>
        <v>DI and HR know when and how an out-of-cycle case can be raised, with explicit decision authority and turnaround expectations.</v>
      </c>
    </row>
    <row r="34" spans="2:11" s="17" customFormat="1" ht="39.5" customHeight="1">
      <c r="B34" s="17" t="str">
        <f>'2_Issue Register'!B32</f>
        <v>WFP-03</v>
      </c>
      <c r="C34" s="8" t="str">
        <f>'2_Issue Register'!C32</f>
        <v>Levels and career paths are not defined for DI technical talent.</v>
      </c>
      <c r="D34" s="8" t="str">
        <f>'2_Issue Register'!I32</f>
        <v>Weak or unconfirmed</v>
      </c>
      <c r="E34" s="8" t="str">
        <f>'2_Issue Register'!P32</f>
        <v>P4 — Longer-term</v>
      </c>
      <c r="F34" s="21">
        <f>'2_Issue Register'!O32</f>
        <v>49</v>
      </c>
      <c r="G34" s="8" t="str">
        <f>IF('2_Issue Register'!U32&lt;&gt;"",'2_Issue Register'!U32,'2_Issue Register'!T32)</f>
        <v>Post-90 days</v>
      </c>
      <c r="H34" s="8" t="str">
        <f>'2_Issue Register'!Q32</f>
        <v>Should follow the target organization and job-architecture work; current employees have not identified it as an immediate pain point.</v>
      </c>
      <c r="I34" s="8" t="str">
        <f>'2_Issue Register'!R32</f>
        <v>Elena / HR + pod leads + Director of Operations</v>
      </c>
      <c r="J34" s="8" t="str">
        <f>'2_Issue Register'!V32</f>
        <v>Define a lightweight technical career framework once the target organization and role architecture are settled.</v>
      </c>
      <c r="K34" s="8" t="str">
        <f>'2_Issue Register'!W32</f>
        <v>Within 90 days, scope, owners and design principles are agreed; full career architecture is sequenced after higher-priority scaling foundations.</v>
      </c>
    </row>
    <row r="35" spans="2:11" s="17" customFormat="1" ht="39.5" customHeight="1">
      <c r="B35" s="17" t="str">
        <f>'2_Issue Register'!B33</f>
        <v>WFP-04</v>
      </c>
      <c r="C35" s="8" t="str">
        <f>'2_Issue Register'!C33</f>
        <v>Firm-wide titles and pay bands do not map cleanly to DI's technical roles.</v>
      </c>
      <c r="D35" s="8" t="str">
        <f>'2_Issue Register'!I33</f>
        <v>Weak or unconfirmed</v>
      </c>
      <c r="E35" s="8" t="str">
        <f>'2_Issue Register'!P33</f>
        <v>P4 — Longer-term</v>
      </c>
      <c r="F35" s="21">
        <f>'2_Issue Register'!O33</f>
        <v>49</v>
      </c>
      <c r="G35" s="8" t="str">
        <f>IF('2_Issue Register'!U33&lt;&gt;"",'2_Issue Register'!U33,'2_Issue Register'!T33)</f>
        <v>Post-90 days</v>
      </c>
      <c r="H35" s="8" t="str">
        <f>'2_Issue Register'!Q33</f>
        <v>Requires current-role mapping, external benchmarks and coordination with the Compensation Committee.</v>
      </c>
      <c r="I35" s="8" t="str">
        <f>'2_Issue Register'!R33</f>
        <v>Elena / HR + Director of Operations + pod leads</v>
      </c>
      <c r="J35" s="8" t="str">
        <f>'2_Issue Register'!V33</f>
        <v>Map DI roles to a technology-specific job architecture while preserving Deerfield's firm-wide governance.</v>
      </c>
      <c r="K35" s="8" t="str">
        <f>'2_Issue Register'!W33</f>
        <v>Priority roles have agreed level definitions and market-reference ranges; hiring and compensation decisions use consistent mappings.</v>
      </c>
    </row>
    <row r="36" spans="2:11" s="17" customFormat="1">
      <c r="C36" s="8"/>
      <c r="D36" s="8"/>
      <c r="E36" s="8"/>
      <c r="F36" s="21"/>
      <c r="G36" s="8"/>
      <c r="H36" s="8"/>
      <c r="I36" s="8"/>
      <c r="J36" s="8"/>
      <c r="K36" s="8"/>
    </row>
    <row r="37" spans="2:11" s="17" customFormat="1">
      <c r="C37" s="8"/>
      <c r="D37" s="8"/>
      <c r="E37" s="8"/>
      <c r="F37" s="21"/>
      <c r="G37" s="8"/>
      <c r="H37" s="8"/>
      <c r="I37" s="8"/>
      <c r="J37" s="8"/>
      <c r="K37" s="8"/>
    </row>
    <row r="38" spans="2:11" s="17" customFormat="1">
      <c r="C38" s="8"/>
      <c r="D38" s="8"/>
      <c r="E38" s="8"/>
      <c r="F38" s="21"/>
      <c r="G38" s="8"/>
      <c r="H38" s="8"/>
      <c r="I38" s="8"/>
      <c r="J38" s="8"/>
      <c r="K38" s="8"/>
    </row>
    <row r="39" spans="2:11" s="17" customFormat="1">
      <c r="C39" s="8"/>
      <c r="D39" s="8"/>
      <c r="E39" s="8"/>
      <c r="F39" s="21"/>
      <c r="G39" s="8"/>
      <c r="H39" s="8"/>
      <c r="I39" s="8"/>
      <c r="J39" s="8"/>
      <c r="K39" s="8"/>
    </row>
    <row r="40" spans="2:11" s="17" customFormat="1">
      <c r="C40" s="8"/>
      <c r="D40" s="8"/>
      <c r="E40" s="8"/>
      <c r="F40" s="21"/>
      <c r="G40" s="8"/>
      <c r="H40" s="8"/>
      <c r="I40" s="8"/>
      <c r="J40" s="8"/>
      <c r="K40" s="8"/>
    </row>
    <row r="41" spans="2:11" s="17" customFormat="1">
      <c r="C41" s="8"/>
      <c r="D41" s="8"/>
      <c r="E41" s="8"/>
      <c r="F41" s="21"/>
      <c r="G41" s="8"/>
      <c r="H41" s="8"/>
      <c r="I41" s="8"/>
      <c r="J41" s="8"/>
      <c r="K41" s="8"/>
    </row>
    <row r="42" spans="2:11" s="17" customFormat="1">
      <c r="C42" s="8"/>
      <c r="D42" s="8"/>
      <c r="E42" s="8"/>
      <c r="F42" s="21"/>
      <c r="G42" s="8"/>
      <c r="H42" s="8"/>
      <c r="I42" s="8"/>
      <c r="J42" s="8"/>
      <c r="K42" s="8"/>
    </row>
    <row r="43" spans="2:11" s="17" customFormat="1">
      <c r="C43" s="8"/>
      <c r="D43" s="8"/>
      <c r="E43" s="8"/>
      <c r="F43" s="21"/>
      <c r="G43" s="8"/>
      <c r="H43" s="8"/>
      <c r="I43" s="8"/>
      <c r="J43" s="8"/>
      <c r="K43" s="8"/>
    </row>
    <row r="44" spans="2:11" s="17" customFormat="1">
      <c r="C44" s="8"/>
      <c r="D44" s="8"/>
      <c r="E44" s="8"/>
      <c r="F44" s="21"/>
      <c r="G44" s="8"/>
      <c r="H44" s="8"/>
      <c r="I44" s="8"/>
      <c r="J44" s="8"/>
      <c r="K44" s="8"/>
    </row>
    <row r="45" spans="2:11" s="17" customFormat="1">
      <c r="C45" s="8"/>
      <c r="D45" s="8"/>
      <c r="E45" s="8"/>
      <c r="F45" s="21"/>
      <c r="G45" s="8"/>
      <c r="H45" s="8"/>
      <c r="I45" s="8"/>
      <c r="J45" s="8"/>
      <c r="K45" s="8"/>
    </row>
    <row r="46" spans="2:11" s="17" customFormat="1">
      <c r="C46" s="8"/>
      <c r="D46" s="8"/>
      <c r="E46" s="8"/>
      <c r="F46" s="21"/>
      <c r="G46" s="8"/>
      <c r="H46" s="8"/>
      <c r="I46" s="8"/>
      <c r="J46" s="8"/>
      <c r="K46" s="8"/>
    </row>
    <row r="47" spans="2:11" s="17" customFormat="1">
      <c r="C47" s="8"/>
      <c r="D47" s="8"/>
      <c r="E47" s="8"/>
      <c r="F47" s="21"/>
      <c r="G47" s="8"/>
      <c r="H47" s="8"/>
      <c r="I47" s="8"/>
      <c r="J47" s="8"/>
      <c r="K47" s="8"/>
    </row>
    <row r="48" spans="2:11" s="17" customFormat="1">
      <c r="C48" s="8"/>
      <c r="D48" s="8"/>
      <c r="E48" s="8"/>
      <c r="F48" s="21"/>
      <c r="G48" s="8"/>
      <c r="H48" s="8"/>
      <c r="I48" s="8"/>
      <c r="J48" s="8"/>
      <c r="K48" s="8"/>
    </row>
    <row r="49" spans="3:11" s="17" customFormat="1">
      <c r="C49" s="8"/>
      <c r="D49" s="8"/>
      <c r="E49" s="8"/>
      <c r="F49" s="21"/>
      <c r="G49" s="8"/>
      <c r="H49" s="8"/>
      <c r="I49" s="8"/>
      <c r="J49" s="8"/>
      <c r="K49" s="8"/>
    </row>
    <row r="50" spans="3:11" s="17" customFormat="1">
      <c r="C50" s="8"/>
      <c r="D50" s="8"/>
      <c r="E50" s="8"/>
      <c r="F50" s="21"/>
      <c r="G50" s="8"/>
      <c r="H50" s="8"/>
      <c r="I50" s="8"/>
      <c r="J50" s="8"/>
      <c r="K50" s="8"/>
    </row>
    <row r="51" spans="3:11" s="17" customFormat="1">
      <c r="C51" s="8"/>
      <c r="D51" s="8"/>
      <c r="E51" s="8"/>
      <c r="F51" s="21"/>
      <c r="G51" s="8"/>
      <c r="H51" s="8"/>
      <c r="I51" s="8"/>
      <c r="J51" s="8"/>
      <c r="K51" s="8"/>
    </row>
    <row r="52" spans="3:11" s="17" customFormat="1">
      <c r="C52" s="8"/>
      <c r="D52" s="8"/>
      <c r="E52" s="8"/>
      <c r="F52" s="21"/>
      <c r="G52" s="8"/>
      <c r="H52" s="8"/>
      <c r="I52" s="8"/>
      <c r="J52" s="8"/>
      <c r="K52" s="8"/>
    </row>
    <row r="53" spans="3:11" s="17" customFormat="1">
      <c r="C53" s="8"/>
      <c r="D53" s="8"/>
      <c r="E53" s="8"/>
      <c r="F53" s="21"/>
      <c r="G53" s="8"/>
      <c r="H53" s="8"/>
      <c r="I53" s="8"/>
      <c r="J53" s="8"/>
      <c r="K53" s="8"/>
    </row>
    <row r="54" spans="3:11" s="17" customFormat="1">
      <c r="C54" s="8"/>
      <c r="D54" s="8"/>
      <c r="E54" s="8"/>
      <c r="F54" s="21"/>
      <c r="G54" s="8"/>
      <c r="H54" s="8"/>
      <c r="I54" s="8"/>
      <c r="J54" s="8"/>
      <c r="K54" s="8"/>
    </row>
    <row r="55" spans="3:11" s="17" customFormat="1">
      <c r="C55" s="8"/>
      <c r="D55" s="8"/>
      <c r="E55" s="8"/>
      <c r="F55" s="21"/>
      <c r="G55" s="8"/>
      <c r="H55" s="8"/>
      <c r="I55" s="8"/>
      <c r="J55" s="8"/>
      <c r="K55" s="8"/>
    </row>
    <row r="56" spans="3:11" s="17" customFormat="1">
      <c r="C56" s="8"/>
      <c r="D56" s="8"/>
      <c r="E56" s="8"/>
      <c r="F56" s="21"/>
      <c r="G56" s="8"/>
      <c r="H56" s="8"/>
      <c r="I56" s="8"/>
      <c r="J56" s="8"/>
      <c r="K56" s="8"/>
    </row>
    <row r="57" spans="3:11" s="17" customFormat="1">
      <c r="C57" s="8"/>
      <c r="D57" s="8"/>
      <c r="E57" s="8"/>
      <c r="F57" s="21"/>
      <c r="G57" s="8"/>
      <c r="H57" s="8"/>
      <c r="I57" s="8"/>
      <c r="J57" s="8"/>
      <c r="K57" s="8"/>
    </row>
    <row r="58" spans="3:11" s="17" customFormat="1">
      <c r="C58" s="8"/>
      <c r="D58" s="8"/>
      <c r="E58" s="8"/>
      <c r="F58" s="21"/>
      <c r="G58" s="8"/>
      <c r="H58" s="8"/>
      <c r="I58" s="8"/>
      <c r="J58" s="8"/>
      <c r="K58" s="8"/>
    </row>
    <row r="59" spans="3:11" s="17" customFormat="1">
      <c r="C59" s="8"/>
      <c r="D59" s="8"/>
      <c r="E59" s="8"/>
      <c r="F59" s="21"/>
      <c r="G59" s="8"/>
      <c r="H59" s="8"/>
      <c r="I59" s="8"/>
      <c r="J59" s="8"/>
      <c r="K59" s="8"/>
    </row>
    <row r="60" spans="3:11" s="17" customFormat="1">
      <c r="C60" s="8"/>
      <c r="D60" s="8"/>
      <c r="E60" s="8"/>
      <c r="F60" s="21"/>
      <c r="G60" s="8"/>
      <c r="H60" s="8"/>
      <c r="I60" s="8"/>
      <c r="J60" s="8"/>
      <c r="K60" s="8"/>
    </row>
    <row r="61" spans="3:11" s="17" customFormat="1">
      <c r="C61" s="8"/>
      <c r="D61" s="8"/>
      <c r="E61" s="8"/>
      <c r="F61" s="21"/>
      <c r="G61" s="8"/>
      <c r="H61" s="8"/>
      <c r="I61" s="8"/>
      <c r="J61" s="8"/>
      <c r="K61" s="8"/>
    </row>
    <row r="62" spans="3:11" s="17" customFormat="1">
      <c r="C62" s="8"/>
      <c r="D62" s="8"/>
      <c r="E62" s="8"/>
      <c r="F62" s="21"/>
      <c r="G62" s="8"/>
      <c r="H62" s="8"/>
      <c r="I62" s="8"/>
      <c r="J62" s="8"/>
      <c r="K62" s="8"/>
    </row>
    <row r="63" spans="3:11" s="17" customFormat="1">
      <c r="C63" s="8"/>
      <c r="D63" s="8"/>
      <c r="E63" s="8"/>
      <c r="F63" s="21"/>
      <c r="G63" s="8"/>
      <c r="H63" s="8"/>
      <c r="I63" s="8"/>
      <c r="J63" s="8"/>
      <c r="K63" s="8"/>
    </row>
    <row r="64" spans="3:11" s="17" customFormat="1">
      <c r="C64" s="8"/>
      <c r="D64" s="8"/>
      <c r="E64" s="8"/>
      <c r="F64" s="21"/>
      <c r="G64" s="8"/>
      <c r="H64" s="8"/>
      <c r="I64" s="8"/>
      <c r="J64" s="8"/>
      <c r="K64" s="8"/>
    </row>
    <row r="65" spans="3:11" s="17" customFormat="1">
      <c r="C65" s="8"/>
      <c r="D65" s="8"/>
      <c r="E65" s="8"/>
      <c r="F65" s="21"/>
      <c r="G65" s="8"/>
      <c r="H65" s="8"/>
      <c r="I65" s="8"/>
      <c r="J65" s="8"/>
      <c r="K65" s="8"/>
    </row>
    <row r="66" spans="3:11" s="17" customFormat="1">
      <c r="C66" s="8"/>
      <c r="D66" s="8"/>
      <c r="E66" s="8"/>
      <c r="F66" s="21"/>
      <c r="G66" s="8"/>
      <c r="H66" s="8"/>
      <c r="I66" s="8"/>
      <c r="J66" s="8"/>
      <c r="K66" s="8"/>
    </row>
    <row r="67" spans="3:11" s="17" customFormat="1">
      <c r="C67" s="8"/>
      <c r="D67" s="8"/>
      <c r="E67" s="8"/>
      <c r="F67" s="21"/>
      <c r="G67" s="8"/>
      <c r="H67" s="8"/>
      <c r="I67" s="8"/>
      <c r="J67" s="8"/>
      <c r="K67" s="8"/>
    </row>
    <row r="68" spans="3:11" s="17" customFormat="1">
      <c r="C68" s="8"/>
      <c r="D68" s="8"/>
      <c r="E68" s="8"/>
      <c r="F68" s="21"/>
      <c r="G68" s="8"/>
      <c r="H68" s="8"/>
      <c r="I68" s="8"/>
      <c r="J68" s="8"/>
      <c r="K68" s="8"/>
    </row>
    <row r="69" spans="3:11" s="17" customFormat="1">
      <c r="C69" s="8"/>
      <c r="D69" s="8"/>
      <c r="E69" s="8"/>
      <c r="F69" s="21"/>
      <c r="G69" s="8"/>
      <c r="H69" s="8"/>
      <c r="I69" s="8"/>
      <c r="J69" s="8"/>
      <c r="K69" s="8"/>
    </row>
    <row r="70" spans="3:11" s="17" customFormat="1">
      <c r="C70" s="8"/>
      <c r="D70" s="8"/>
      <c r="E70" s="8"/>
      <c r="F70" s="21"/>
      <c r="G70" s="8"/>
      <c r="H70" s="8"/>
      <c r="I70" s="8"/>
      <c r="J70" s="8"/>
      <c r="K70" s="8"/>
    </row>
    <row r="71" spans="3:11" s="17" customFormat="1">
      <c r="C71" s="8"/>
      <c r="D71" s="8"/>
      <c r="E71" s="8"/>
      <c r="F71" s="21"/>
      <c r="G71" s="8"/>
      <c r="H71" s="8"/>
      <c r="I71" s="8"/>
      <c r="J71" s="8"/>
      <c r="K71" s="8"/>
    </row>
    <row r="72" spans="3:11" s="17" customFormat="1">
      <c r="C72" s="8"/>
      <c r="D72" s="8"/>
      <c r="E72" s="8"/>
      <c r="F72" s="21"/>
      <c r="G72" s="8"/>
      <c r="H72" s="8"/>
      <c r="I72" s="8"/>
      <c r="J72" s="8"/>
      <c r="K72" s="8"/>
    </row>
    <row r="73" spans="3:11" s="17" customFormat="1">
      <c r="C73" s="8"/>
      <c r="D73" s="8"/>
      <c r="E73" s="8"/>
      <c r="F73" s="21"/>
      <c r="G73" s="8"/>
      <c r="H73" s="8"/>
      <c r="I73" s="8"/>
      <c r="J73" s="8"/>
      <c r="K73" s="8"/>
    </row>
    <row r="74" spans="3:11" s="17" customFormat="1">
      <c r="C74" s="8"/>
      <c r="D74" s="8"/>
      <c r="E74" s="8"/>
      <c r="F74" s="21"/>
      <c r="G74" s="8"/>
      <c r="H74" s="8"/>
      <c r="I74" s="8"/>
      <c r="J74" s="8"/>
      <c r="K74" s="8"/>
    </row>
    <row r="75" spans="3:11" s="17" customFormat="1">
      <c r="C75" s="8"/>
      <c r="D75" s="8"/>
      <c r="E75" s="8"/>
      <c r="F75" s="21"/>
      <c r="G75" s="8"/>
      <c r="H75" s="8"/>
      <c r="I75" s="8"/>
      <c r="J75" s="8"/>
      <c r="K75" s="8"/>
    </row>
    <row r="76" spans="3:11" s="17" customFormat="1">
      <c r="C76" s="8"/>
      <c r="D76" s="8"/>
      <c r="E76" s="8"/>
      <c r="F76" s="21"/>
      <c r="G76" s="8"/>
      <c r="H76" s="8"/>
      <c r="I76" s="8"/>
      <c r="J76" s="8"/>
      <c r="K76" s="8"/>
    </row>
    <row r="77" spans="3:11" s="17" customFormat="1">
      <c r="C77" s="8"/>
      <c r="D77" s="8"/>
      <c r="E77" s="8"/>
      <c r="F77" s="21"/>
      <c r="G77" s="8"/>
      <c r="H77" s="8"/>
      <c r="I77" s="8"/>
      <c r="J77" s="8"/>
      <c r="K77" s="8"/>
    </row>
    <row r="78" spans="3:11" s="17" customFormat="1">
      <c r="C78" s="8"/>
      <c r="D78" s="8"/>
      <c r="E78" s="8"/>
      <c r="F78" s="21"/>
      <c r="G78" s="8"/>
      <c r="H78" s="8"/>
      <c r="I78" s="8"/>
      <c r="J78" s="8"/>
      <c r="K78" s="8"/>
    </row>
    <row r="79" spans="3:11" s="17" customFormat="1">
      <c r="C79" s="8"/>
      <c r="D79" s="8"/>
      <c r="E79" s="8"/>
      <c r="F79" s="21"/>
      <c r="G79" s="8"/>
      <c r="H79" s="8"/>
      <c r="I79" s="8"/>
      <c r="J79" s="8"/>
      <c r="K79" s="8"/>
    </row>
    <row r="80" spans="3:11" s="17" customFormat="1">
      <c r="C80" s="8"/>
      <c r="D80" s="8"/>
      <c r="E80" s="8"/>
      <c r="F80" s="21"/>
      <c r="G80" s="8"/>
      <c r="H80" s="8"/>
      <c r="I80" s="8"/>
      <c r="J80" s="8"/>
      <c r="K80" s="8"/>
    </row>
    <row r="81" spans="3:11" s="17" customFormat="1">
      <c r="C81" s="8"/>
      <c r="D81" s="8"/>
      <c r="E81" s="8"/>
      <c r="F81" s="21"/>
      <c r="G81" s="8"/>
      <c r="H81" s="8"/>
      <c r="I81" s="8"/>
      <c r="J81" s="8"/>
      <c r="K81" s="8"/>
    </row>
    <row r="82" spans="3:11" s="17" customFormat="1">
      <c r="C82" s="8"/>
      <c r="D82" s="8"/>
      <c r="E82" s="8"/>
      <c r="F82" s="21"/>
      <c r="G82" s="8"/>
      <c r="H82" s="8"/>
      <c r="I82" s="8"/>
      <c r="J82" s="8"/>
      <c r="K82" s="8"/>
    </row>
    <row r="83" spans="3:11" s="17" customFormat="1">
      <c r="C83" s="8"/>
      <c r="D83" s="8"/>
      <c r="E83" s="8"/>
      <c r="F83" s="21"/>
      <c r="G83" s="8"/>
      <c r="H83" s="8"/>
      <c r="I83" s="8"/>
      <c r="J83" s="8"/>
      <c r="K83" s="8"/>
    </row>
    <row r="84" spans="3:11" s="17" customFormat="1">
      <c r="C84" s="8"/>
      <c r="D84" s="8"/>
      <c r="E84" s="8"/>
      <c r="F84" s="21"/>
      <c r="G84" s="8"/>
      <c r="H84" s="8"/>
      <c r="I84" s="8"/>
      <c r="J84" s="8"/>
      <c r="K84" s="8"/>
    </row>
    <row r="85" spans="3:11" s="17" customFormat="1">
      <c r="C85" s="8"/>
      <c r="D85" s="8"/>
      <c r="E85" s="8"/>
      <c r="F85" s="21"/>
      <c r="G85" s="8"/>
      <c r="H85" s="8"/>
      <c r="I85" s="8"/>
      <c r="J85" s="8"/>
      <c r="K85" s="8"/>
    </row>
    <row r="86" spans="3:11" s="17" customFormat="1">
      <c r="C86" s="8"/>
      <c r="D86" s="8"/>
      <c r="E86" s="8"/>
      <c r="F86" s="21"/>
      <c r="G86" s="8"/>
      <c r="H86" s="8"/>
      <c r="I86" s="8"/>
      <c r="J86" s="8"/>
      <c r="K86" s="8"/>
    </row>
    <row r="87" spans="3:11" s="17" customFormat="1">
      <c r="C87" s="8"/>
      <c r="D87" s="8"/>
      <c r="E87" s="8"/>
      <c r="F87" s="21"/>
      <c r="G87" s="8"/>
      <c r="H87" s="8"/>
      <c r="I87" s="8"/>
      <c r="J87" s="8"/>
      <c r="K87" s="8"/>
    </row>
    <row r="88" spans="3:11" s="17" customFormat="1">
      <c r="C88" s="8"/>
      <c r="D88" s="8"/>
      <c r="E88" s="8"/>
      <c r="F88" s="21"/>
      <c r="G88" s="8"/>
      <c r="H88" s="8"/>
      <c r="I88" s="8"/>
      <c r="J88" s="8"/>
      <c r="K88" s="8"/>
    </row>
    <row r="89" spans="3:11" s="17" customFormat="1">
      <c r="C89" s="8"/>
      <c r="D89" s="8"/>
      <c r="E89" s="8"/>
      <c r="F89" s="21"/>
      <c r="G89" s="8"/>
      <c r="H89" s="8"/>
      <c r="I89" s="8"/>
      <c r="J89" s="8"/>
      <c r="K89" s="8"/>
    </row>
    <row r="90" spans="3:11" s="17" customFormat="1">
      <c r="C90" s="8"/>
      <c r="D90" s="8"/>
      <c r="E90" s="8"/>
      <c r="F90" s="21"/>
      <c r="G90" s="8"/>
      <c r="H90" s="8"/>
      <c r="I90" s="8"/>
      <c r="J90" s="8"/>
      <c r="K90" s="8"/>
    </row>
    <row r="91" spans="3:11" s="17" customFormat="1">
      <c r="C91" s="8"/>
      <c r="D91" s="8"/>
      <c r="E91" s="8"/>
      <c r="F91" s="21"/>
      <c r="G91" s="8"/>
      <c r="H91" s="8"/>
      <c r="I91" s="8"/>
      <c r="J91" s="8"/>
      <c r="K91" s="8"/>
    </row>
    <row r="92" spans="3:11" s="17" customFormat="1">
      <c r="C92" s="8"/>
      <c r="D92" s="8"/>
      <c r="E92" s="8"/>
      <c r="F92" s="21"/>
      <c r="G92" s="8"/>
      <c r="H92" s="8"/>
      <c r="I92" s="8"/>
      <c r="J92" s="8"/>
      <c r="K92" s="8"/>
    </row>
    <row r="93" spans="3:11" s="17" customFormat="1">
      <c r="C93" s="8"/>
      <c r="D93" s="8"/>
      <c r="E93" s="8"/>
      <c r="F93" s="21"/>
      <c r="G93" s="8"/>
      <c r="H93" s="8"/>
      <c r="I93" s="8"/>
      <c r="J93" s="8"/>
      <c r="K93" s="8"/>
    </row>
    <row r="94" spans="3:11" s="17" customFormat="1">
      <c r="C94" s="8"/>
      <c r="D94" s="8"/>
      <c r="E94" s="8"/>
      <c r="F94" s="21"/>
      <c r="G94" s="8"/>
      <c r="H94" s="8"/>
      <c r="I94" s="8"/>
      <c r="J94" s="8"/>
      <c r="K94" s="8"/>
    </row>
    <row r="95" spans="3:11" s="17" customFormat="1">
      <c r="C95" s="8"/>
      <c r="D95" s="8"/>
      <c r="E95" s="8"/>
      <c r="F95" s="21"/>
      <c r="G95" s="8"/>
      <c r="H95" s="8"/>
      <c r="I95" s="8"/>
      <c r="J95" s="8"/>
      <c r="K95" s="8"/>
    </row>
    <row r="96" spans="3:11" s="17" customFormat="1">
      <c r="C96" s="8"/>
      <c r="D96" s="8"/>
      <c r="E96" s="8"/>
      <c r="F96" s="21"/>
      <c r="G96" s="8"/>
      <c r="H96" s="8"/>
      <c r="I96" s="8"/>
      <c r="J96" s="8"/>
      <c r="K96" s="8"/>
    </row>
    <row r="97" spans="3:11" s="17" customFormat="1">
      <c r="C97" s="8"/>
      <c r="D97" s="8"/>
      <c r="E97" s="8"/>
      <c r="F97" s="21"/>
      <c r="G97" s="8"/>
      <c r="H97" s="8"/>
      <c r="I97" s="8"/>
      <c r="J97" s="8"/>
      <c r="K97" s="8"/>
    </row>
    <row r="98" spans="3:11" s="17" customFormat="1">
      <c r="C98" s="8"/>
      <c r="D98" s="8"/>
      <c r="E98" s="8"/>
      <c r="F98" s="21"/>
      <c r="G98" s="8"/>
      <c r="H98" s="8"/>
      <c r="I98" s="8"/>
      <c r="J98" s="8"/>
      <c r="K98" s="8"/>
    </row>
    <row r="99" spans="3:11" s="17" customFormat="1">
      <c r="C99" s="8"/>
      <c r="D99" s="8"/>
      <c r="E99" s="8"/>
      <c r="F99" s="21"/>
      <c r="G99" s="8"/>
      <c r="H99" s="8"/>
      <c r="I99" s="8"/>
      <c r="J99" s="8"/>
      <c r="K99" s="8"/>
    </row>
    <row r="100" spans="3:11" s="17" customFormat="1">
      <c r="C100" s="8"/>
      <c r="D100" s="8"/>
      <c r="E100" s="8"/>
      <c r="F100" s="21"/>
      <c r="G100" s="8"/>
      <c r="H100" s="8"/>
      <c r="I100" s="8"/>
      <c r="J100" s="8"/>
      <c r="K100" s="8"/>
    </row>
    <row r="101" spans="3:11" s="17" customFormat="1">
      <c r="C101" s="8"/>
      <c r="D101" s="8"/>
      <c r="E101" s="8"/>
      <c r="F101" s="21"/>
      <c r="G101" s="8"/>
      <c r="H101" s="8"/>
      <c r="I101" s="8"/>
      <c r="J101" s="8"/>
      <c r="K101" s="8"/>
    </row>
    <row r="102" spans="3:11" s="17" customFormat="1">
      <c r="C102" s="8"/>
      <c r="D102" s="8"/>
      <c r="E102" s="8"/>
      <c r="F102" s="21"/>
      <c r="G102" s="8"/>
      <c r="H102" s="8"/>
      <c r="I102" s="8"/>
      <c r="J102" s="8"/>
      <c r="K102" s="8"/>
    </row>
    <row r="103" spans="3:11" s="17" customFormat="1">
      <c r="C103" s="8"/>
      <c r="D103" s="8"/>
      <c r="E103" s="8"/>
      <c r="F103" s="21"/>
      <c r="G103" s="8"/>
      <c r="H103" s="8"/>
      <c r="I103" s="8"/>
      <c r="J103" s="8"/>
      <c r="K103" s="8"/>
    </row>
    <row r="104" spans="3:11" s="17" customFormat="1">
      <c r="C104" s="8"/>
      <c r="D104" s="8"/>
      <c r="E104" s="8"/>
      <c r="F104" s="21"/>
      <c r="G104" s="8"/>
      <c r="H104" s="8"/>
      <c r="I104" s="8"/>
      <c r="J104" s="8"/>
      <c r="K104" s="8"/>
    </row>
  </sheetData>
  <conditionalFormatting sqref="F5:F104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9"/>
  <sheetViews>
    <sheetView showGridLines="0" tabSelected="1" zoomScale="89" workbookViewId="0">
      <selection activeCell="C7" sqref="C7"/>
    </sheetView>
  </sheetViews>
  <sheetFormatPr defaultRowHeight="14.5"/>
  <cols>
    <col min="1" max="1" width="2.5" style="2" customWidth="1"/>
    <col min="2" max="2" width="20" style="2" customWidth="1"/>
    <col min="3" max="5" width="42" style="2" customWidth="1"/>
    <col min="6" max="16384" width="8.6640625" style="2"/>
  </cols>
  <sheetData>
    <row r="2" spans="2:5" ht="18.5">
      <c r="B2" s="38" t="s">
        <v>84</v>
      </c>
      <c r="C2" s="38"/>
      <c r="D2" s="38"/>
      <c r="E2" s="38"/>
    </row>
    <row r="4" spans="2:5">
      <c r="B4" s="5" t="s">
        <v>85</v>
      </c>
      <c r="C4" s="5" t="s">
        <v>86</v>
      </c>
      <c r="D4" s="5" t="s">
        <v>87</v>
      </c>
      <c r="E4" s="5" t="s">
        <v>88</v>
      </c>
    </row>
    <row r="5" spans="2:5" ht="45" customHeight="1">
      <c r="B5" s="9" t="s">
        <v>89</v>
      </c>
      <c r="C5" s="9" t="s">
        <v>90</v>
      </c>
      <c r="D5" s="9" t="s">
        <v>91</v>
      </c>
      <c r="E5" s="9" t="s">
        <v>92</v>
      </c>
    </row>
    <row r="6" spans="2:5" ht="45" customHeight="1">
      <c r="B6" s="9" t="s">
        <v>93</v>
      </c>
      <c r="C6" s="9" t="s">
        <v>94</v>
      </c>
      <c r="D6" s="9" t="s">
        <v>95</v>
      </c>
      <c r="E6" s="9" t="s">
        <v>96</v>
      </c>
    </row>
    <row r="7" spans="2:5" ht="45" customHeight="1">
      <c r="B7" s="9" t="s">
        <v>97</v>
      </c>
      <c r="C7" s="9" t="s">
        <v>98</v>
      </c>
      <c r="D7" s="9" t="s">
        <v>99</v>
      </c>
      <c r="E7" s="9" t="s">
        <v>100</v>
      </c>
    </row>
    <row r="8" spans="2:5" ht="45" customHeight="1">
      <c r="B8" s="9" t="s">
        <v>101</v>
      </c>
      <c r="C8" s="9" t="s">
        <v>102</v>
      </c>
      <c r="D8" s="9" t="s">
        <v>103</v>
      </c>
      <c r="E8" s="9" t="s">
        <v>104</v>
      </c>
    </row>
    <row r="9" spans="2:5" ht="45" customHeight="1">
      <c r="B9" s="9" t="s">
        <v>105</v>
      </c>
      <c r="C9" s="9" t="s">
        <v>106</v>
      </c>
      <c r="D9" s="9" t="s">
        <v>107</v>
      </c>
      <c r="E9" s="9" t="s">
        <v>108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1_Evidence Log</vt:lpstr>
      <vt:lpstr>2_Issue Register</vt:lpstr>
      <vt:lpstr>3_Sequence View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McGibbon</dc:creator>
  <cp:lastModifiedBy>Julie McGibbon</cp:lastModifiedBy>
  <dcterms:created xsi:type="dcterms:W3CDTF">2026-09-19T01:11:57Z</dcterms:created>
  <dcterms:modified xsi:type="dcterms:W3CDTF">2026-09-19T13:04:15Z</dcterms:modified>
</cp:coreProperties>
</file>